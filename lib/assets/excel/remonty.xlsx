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/>
  <mc:AlternateContent xmlns:mc="http://schemas.openxmlformats.org/markup-compatibility/2006">
    <mc:Choice Requires="x15">
      <x15ac:absPath xmlns:x15ac="http://schemas.microsoft.com/office/spreadsheetml/2010/11/ac" url="C:\flutter_projects\cfs_railwagon\lib\assets\excel\"/>
    </mc:Choice>
  </mc:AlternateContent>
  <xr:revisionPtr revIDLastSave="0" documentId="13_ncr:1_{883C1F54-CDCD-46DA-B132-77AF2103C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емонты и КП" sheetId="46" r:id="rId1"/>
  </sheets>
  <definedNames>
    <definedName name="_xlnm._FilterDatabase" localSheetId="0" hidden="1">'Ремонты и КП'!$A$1:$T$58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46" l="1"/>
  <c r="I12" i="46"/>
  <c r="I13" i="46"/>
  <c r="I14" i="46"/>
  <c r="I15" i="46"/>
  <c r="I16" i="46"/>
  <c r="I17" i="46"/>
  <c r="I18" i="46"/>
  <c r="I19" i="46"/>
  <c r="I20" i="46"/>
  <c r="I21" i="46"/>
  <c r="I22" i="46"/>
  <c r="I23" i="46"/>
  <c r="I24" i="46"/>
  <c r="I25" i="46"/>
  <c r="I26" i="46"/>
  <c r="I27" i="46"/>
  <c r="I28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41" i="46"/>
  <c r="I42" i="46"/>
  <c r="I43" i="46"/>
  <c r="I44" i="46"/>
  <c r="I45" i="46"/>
  <c r="I46" i="46"/>
  <c r="I47" i="46"/>
  <c r="I48" i="46"/>
  <c r="I49" i="46"/>
  <c r="I50" i="46"/>
  <c r="I51" i="46"/>
  <c r="I52" i="46"/>
  <c r="I53" i="46"/>
  <c r="I54" i="46"/>
  <c r="I55" i="46"/>
  <c r="I56" i="46"/>
  <c r="I57" i="46"/>
  <c r="I11" i="46"/>
  <c r="J2" i="46" l="1"/>
  <c r="J12" i="46" l="1"/>
  <c r="J13" i="46"/>
  <c r="J14" i="46"/>
  <c r="J16" i="46"/>
  <c r="J17" i="46"/>
  <c r="J18" i="46"/>
  <c r="J19" i="46"/>
  <c r="J20" i="46"/>
  <c r="J21" i="46"/>
  <c r="J22" i="46"/>
  <c r="J23" i="46"/>
  <c r="J24" i="46"/>
  <c r="J26" i="46"/>
  <c r="J27" i="46"/>
  <c r="J28" i="46"/>
  <c r="J29" i="46"/>
  <c r="J30" i="46"/>
  <c r="J31" i="46"/>
  <c r="J32" i="46"/>
  <c r="J33" i="46"/>
  <c r="J34" i="46"/>
  <c r="J35" i="46"/>
  <c r="J36" i="46"/>
  <c r="J37" i="46"/>
  <c r="J38" i="46"/>
  <c r="J39" i="46"/>
  <c r="J40" i="46"/>
  <c r="J41" i="46"/>
  <c r="J42" i="46"/>
  <c r="J43" i="46"/>
  <c r="J44" i="46"/>
  <c r="J46" i="46"/>
  <c r="J47" i="46"/>
  <c r="J48" i="46"/>
  <c r="J49" i="46"/>
  <c r="J50" i="46"/>
  <c r="J51" i="46"/>
  <c r="J54" i="46"/>
  <c r="J55" i="46"/>
  <c r="J56" i="46"/>
  <c r="J57" i="46"/>
  <c r="J11" i="46"/>
  <c r="J15" i="46"/>
  <c r="J25" i="46"/>
  <c r="J45" i="46"/>
  <c r="J52" i="46"/>
  <c r="J53" i="46"/>
</calcChain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<sst xmlns="http://schemas.openxmlformats.org/spreadsheetml/2006/main" count="561" uniqueCount="123">
  <si>
    <t>Ремонтное Депо</t>
  </si>
  <si>
    <t>КП 1</t>
  </si>
  <si>
    <t>КП 2</t>
  </si>
  <si>
    <t>КП 3</t>
  </si>
  <si>
    <t>КП 4</t>
  </si>
  <si>
    <t>ДатаКП 1</t>
  </si>
  <si>
    <t>ДатаКП 2</t>
  </si>
  <si>
    <t>ДатаКП 3</t>
  </si>
  <si>
    <t>ДатаКП 4</t>
  </si>
  <si>
    <t>Депо замены КП</t>
  </si>
  <si>
    <t>ЮУP ж.д. в 610 Вагонное депо Петропавловск ОАО "РЖД"</t>
  </si>
  <si>
    <t xml:space="preserve">04.2024 </t>
  </si>
  <si>
    <t xml:space="preserve"> Вагонное депо Петропавловск ОАО "РЖД" - ЮУP ж.д. - Россия </t>
  </si>
  <si>
    <t>ЮУP ж.д. в 600 ВРЗ Челябинск - филиал ООО "НВК"</t>
  </si>
  <si>
    <t xml:space="preserve">07.2022 </t>
  </si>
  <si>
    <t xml:space="preserve">08.2022 </t>
  </si>
  <si>
    <t xml:space="preserve">- Махрамский ВРЗ - TДЖ ж.д. - Таджикистан </t>
  </si>
  <si>
    <t>BCБ ж.д. в 651 ВЧДр Тайшет АО "ВРК-1"</t>
  </si>
  <si>
    <t xml:space="preserve">04.2025 </t>
  </si>
  <si>
    <t xml:space="preserve">12.2024 </t>
  </si>
  <si>
    <t xml:space="preserve">11.2022 </t>
  </si>
  <si>
    <t xml:space="preserve">- ИП "Раймжанова А.С." - КЗХ ж.д. - Казахстан </t>
  </si>
  <si>
    <t>MCK ж.д. в 416 ОП "ВЧДР Павелец"</t>
  </si>
  <si>
    <t xml:space="preserve">12.2022 </t>
  </si>
  <si>
    <t xml:space="preserve">10.2023 </t>
  </si>
  <si>
    <t xml:space="preserve"> ОП "ВЧДР Павелец" - MCK ж.д. - Россия </t>
  </si>
  <si>
    <t>ЗБK ж.д. в 117 СВРЗ - ОСП АО "ОМК Стальной путь"</t>
  </si>
  <si>
    <t xml:space="preserve"> СВРЗ - ОСП АО "ОМК Стальной путь" - ЗБK ж.д. - Россия </t>
  </si>
  <si>
    <t>BCБ ж.д. в 231 ВЧДр Вихоревка АО "ОМК Стальной путь"</t>
  </si>
  <si>
    <t xml:space="preserve">06.2025 </t>
  </si>
  <si>
    <t xml:space="preserve">10.2022 </t>
  </si>
  <si>
    <t xml:space="preserve">01.2025 </t>
  </si>
  <si>
    <t>ГOP ж.д. в 1173 ВРД Зелецино - филиал ООО "НВК"</t>
  </si>
  <si>
    <t xml:space="preserve">03.2022 </t>
  </si>
  <si>
    <t xml:space="preserve">- ВРД Зелецино - филиал ООО "НВК" - ГOP ж.д. - Россия </t>
  </si>
  <si>
    <t xml:space="preserve">04.2022 </t>
  </si>
  <si>
    <t>ГOP ж.д. в 1393 ООО "Муромский завод ТрансПутьМаш"</t>
  </si>
  <si>
    <t xml:space="preserve">10.2024 </t>
  </si>
  <si>
    <t xml:space="preserve">11.2024 </t>
  </si>
  <si>
    <t>замена 2 КП, текущий ремонт</t>
  </si>
  <si>
    <t xml:space="preserve">- ООО "Муромский завод ТрансПутьМаш" - ГOP ж.д. - Россия </t>
  </si>
  <si>
    <t xml:space="preserve">05.2022 </t>
  </si>
  <si>
    <t xml:space="preserve"> ВЧДр Люблино АО "ВРК-1" - MCK ж.д. - Россия </t>
  </si>
  <si>
    <t xml:space="preserve">05.2024 </t>
  </si>
  <si>
    <t>ЗБK ж.д. в 661 ВЧДр Белогорск АО "ОМК Стальной путь"</t>
  </si>
  <si>
    <t xml:space="preserve"> ВЧДр Белогорск АО "ОМК Стальной путь" - ЗБK ж.д. - Россия </t>
  </si>
  <si>
    <t xml:space="preserve">06.2024 </t>
  </si>
  <si>
    <t xml:space="preserve">06.2022 </t>
  </si>
  <si>
    <t xml:space="preserve"> ВРЗ Челябинск - филиал ООО "НВК" - ЮУP ж.д. - Россия </t>
  </si>
  <si>
    <t>ЗCБ ж.д. в 605 ВЧДр Омск-Сортировочный АО "ВРК-1"</t>
  </si>
  <si>
    <t xml:space="preserve">07.2024 </t>
  </si>
  <si>
    <t xml:space="preserve"> ВЧДр Омск-Сортировочный АО "ВРК-1" - ЗCБ ж.д. - Россия </t>
  </si>
  <si>
    <t xml:space="preserve">08.2024 </t>
  </si>
  <si>
    <t xml:space="preserve">09.2022 </t>
  </si>
  <si>
    <t>CBP ж.д. в 1578 ООО "ВРП Завязовское"</t>
  </si>
  <si>
    <t xml:space="preserve">- ООО "ВРП Завязовское" - CBP ж.д. - Россия </t>
  </si>
  <si>
    <t>без замен</t>
  </si>
  <si>
    <t xml:space="preserve">09.2024 </t>
  </si>
  <si>
    <t>ЗCБ ж.д. в 626 ВЧДр Инская АО "ВРК-1"</t>
  </si>
  <si>
    <t xml:space="preserve"> ВЧДр Инская АО "ВРК-1" - ЗCБ ж.д. - Россия </t>
  </si>
  <si>
    <t>OKT ж.д. в 2566 ООО "БВРЗ "Новотранс"</t>
  </si>
  <si>
    <t xml:space="preserve">- ООО "БВРЗ "Новотранс" - OKT ж.д. - Россия </t>
  </si>
  <si>
    <t>KPC ж.д. в 2571 Боготольский филиал ООО "РВК"</t>
  </si>
  <si>
    <t xml:space="preserve">- Боготольский филиал ООО "РВК" - KPC ж.д. - Россия </t>
  </si>
  <si>
    <t>ДBC ж.д. в 1324 Реф. ВЧДр Уссурийск АО "ВРК-1"</t>
  </si>
  <si>
    <t xml:space="preserve">- Реф. ВЧДр Уссурийск АО "ВРК-1" - ДBC ж.д. - Россия </t>
  </si>
  <si>
    <t xml:space="preserve"> ВЧДр Тайшет АО "ВРК-1" - BCБ ж.д. - Россия </t>
  </si>
  <si>
    <t>КЗХ ж.д. в 608 ТОО "ВРД Бурабай"</t>
  </si>
  <si>
    <t xml:space="preserve"> ТОО "ВРД Бурабай" - КЗХ ж.д. - Казахстан </t>
  </si>
  <si>
    <t>КЗХ ж.д. в 1181 ТОО "ШимкентРемСервис"</t>
  </si>
  <si>
    <t xml:space="preserve">- ТОО "ШимкентРемСервис" - КЗХ ж.д. - Казахстан </t>
  </si>
  <si>
    <t xml:space="preserve">04.2023 </t>
  </si>
  <si>
    <t>КЗХ ж.д. в 1916 ВРД Кушмурун - филиал ТОО "ARS"</t>
  </si>
  <si>
    <t xml:space="preserve">- ВРД Кушмурун - филиал ТОО "ARS" - КЗХ ж.д. - Казахстан </t>
  </si>
  <si>
    <t xml:space="preserve">06.2023 </t>
  </si>
  <si>
    <t>КЗХ ж.д. в 1917 ВРД Арысь - филиал ТОО "ARS"</t>
  </si>
  <si>
    <t xml:space="preserve">05.2025 </t>
  </si>
  <si>
    <t xml:space="preserve">- ВРД Арысь - филиал ТОО "ARS" - КЗХ ж.д. - Казахстан </t>
  </si>
  <si>
    <t>переподкат</t>
  </si>
  <si>
    <t xml:space="preserve">03.2025 </t>
  </si>
  <si>
    <t xml:space="preserve">4 кп замена </t>
  </si>
  <si>
    <t>замена 4 кп</t>
  </si>
  <si>
    <t xml:space="preserve">- ВЧД-30 Арысь - КЗХ ж.д. - Казахстан </t>
  </si>
  <si>
    <t xml:space="preserve">- ВЧД-27 Джамбул - КЗХ ж.д. - Казахстан </t>
  </si>
  <si>
    <t>КЗХ ж.д. в 753 Павлодарское ВРД</t>
  </si>
  <si>
    <t xml:space="preserve">07.2025 </t>
  </si>
  <si>
    <t xml:space="preserve"> Павлодарское ВРД - КЗХ ж.д. - Казахстан </t>
  </si>
  <si>
    <t xml:space="preserve">08.2025 </t>
  </si>
  <si>
    <t xml:space="preserve">11.2025 </t>
  </si>
  <si>
    <t>Комментарий  по КП</t>
  </si>
  <si>
    <t>08/04: Замена 2-х КП (III и IV)</t>
  </si>
  <si>
    <t>Трафарет</t>
  </si>
  <si>
    <t>ПОЛНОСТЬЮ ОКРАШЕН</t>
  </si>
  <si>
    <t>ТОЛЬКО ТРАФАРЕТЫ</t>
  </si>
  <si>
    <t>Кушмурун (оплачено)</t>
  </si>
  <si>
    <t>Тобол (оплачено)</t>
  </si>
  <si>
    <t>Аренда</t>
  </si>
  <si>
    <t>Отстой Тентек, без трафарета</t>
  </si>
  <si>
    <t>ПОТИ</t>
  </si>
  <si>
    <t>Был у Талгата, трафарет не наносили</t>
  </si>
  <si>
    <t>Приехал с Латвии, трафаретов нет</t>
  </si>
  <si>
    <t>Скорее всего нет</t>
  </si>
  <si>
    <t>Арысь (отправляли трафареты)</t>
  </si>
  <si>
    <t>вагоны Талгата. Трафаретов не наносили</t>
  </si>
  <si>
    <t>Шымкент (ремонтировались вместе с 4-мя вагонами)</t>
  </si>
  <si>
    <t>На пробеге</t>
  </si>
  <si>
    <t>Нет</t>
  </si>
  <si>
    <t>Вагон не ремонтируется по пробегу</t>
  </si>
  <si>
    <t>Да</t>
  </si>
  <si>
    <t>Комментарий по трафаретам</t>
  </si>
  <si>
    <t>Дата замера пробега</t>
  </si>
  <si>
    <t>Пробег (км)</t>
  </si>
  <si>
    <t>Бурабай (фото)</t>
  </si>
  <si>
    <t>Тобол (фото)</t>
  </si>
  <si>
    <t>Алтынколь (фото)</t>
  </si>
  <si>
    <t>Кушмурун (фото)</t>
  </si>
  <si>
    <t>Шымкент (фото)</t>
  </si>
  <si>
    <t>Арысь (фото)</t>
  </si>
  <si>
    <t>ОРИЕНТИР срок ремонта</t>
  </si>
  <si>
    <t>ОРИЕНТИР дата след ремонта (с учетом схожего расхода на дату последнего замера)</t>
  </si>
  <si>
    <t>дата посл депо ремонта</t>
  </si>
  <si>
    <t>дата след депо ремонта</t>
  </si>
  <si>
    <t>ЦЕЛЕВАЯ ДАТА 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</si>
</sst>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.00\ _₽_-;\-* #,##0.00\ _₽_-;_-* &quot;-&quot;??\ _₽_-;_-@_-"/>
  </numFmts>
  <fonts count="6" x14ac:knownFonts="1">
    <font>
      <sz val="9"/>
      <color rgb="FF000000"/>
      <name val="Calibri"/>
      <scheme val="minor"/>
    </font>
    <font>
      <sz val="11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sz val="11"/>
      <name val="Arial"/>
      <family val="1"/>
    </font>
    <font>
      <sz val="11"/>
      <color indexed="8"/>
      <name val="Calibri"/>
      <family val="2"/>
    </font>
    <font>
      <sz val="9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0"/>
    <xf numFmtId="0" fontId="3" fillId="0" borderId="1"/>
    <xf numFmtId="0" fontId="2" fillId="0" borderId="1"/>
    <xf numFmtId="43" fontId="2" fillId="0" borderId="1" applyFont="0" applyFill="0" applyBorder="0" applyAlignment="0" applyProtection="0"/>
    <xf numFmtId="0" fontId="4" fillId="0" borderId="1"/>
    <xf numFmtId="164" fontId="1" fillId="0" borderId="1" applyFont="0" applyFill="0" applyBorder="0" applyAlignment="0" applyProtection="0"/>
    <xf numFmtId="0" fontId="5" fillId="0" borderId="1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wrapText="1"/>
    </xf>
  </cellXfs>
  <cellStyles count="7">
    <cellStyle name="Normal" xfId="1" xr:uid="{BF5DF4AA-9909-4AE1-9B6B-1C907ECE21FD}"/>
    <cellStyle name="Обычный" xfId="0" builtinId="0"/>
    <cellStyle name="Обычный 2" xfId="2" xr:uid="{15D7CCCB-F4EC-478E-B143-63A9F1F324DD}"/>
    <cellStyle name="Обычный 3" xfId="4" xr:uid="{BAD821D8-EE88-44DF-9295-81B08AFDA9D2}"/>
    <cellStyle name="Обычный 4" xfId="6" xr:uid="{72D68F4C-151A-42B0-A7AF-65E82B6197A1}"/>
    <cellStyle name="Финансовый 2" xfId="3" xr:uid="{2B04EF7A-701D-458C-8A58-95CFC21C8C8C}"/>
    <cellStyle name="Финансовый 3" xfId="5" xr:uid="{3ACC3F59-5CEC-44BF-8128-309A2FA68477}"/>
  </cellStyles>
  <dxfs count="4">
    <dxf>
      <fill>
        <patternFill patternType="none"/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4F6128"/>
          <bgColor rgb="FF4F6128"/>
        </patternFill>
      </fill>
    </dxf>
    <dxf>
      <fill>
        <patternFill patternType="none"/>
      </fill>
    </dxf>
  </dxfs>
  <tableStyles count="1">
    <tableStyle name="Перемещения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colors>
    <mruColors>
      <color rgb="FFCC00CC"/>
      <color rgb="FF99FF99"/>
      <color rgb="FFFF5050"/>
      <color rgb="FFFFCCFF"/>
      <color rgb="FFFF99FF"/>
      <color rgb="FFFF9999"/>
      <color rgb="FF66FF99"/>
      <color rgb="FF99FF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29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2F3F-A2A9-41F9-AE50-6B2576905F40}">
  <dimension ref="A1:V58"/>
  <sheetViews>
    <sheetView tabSelected="1" zoomScale="85" zoomScaleNormal="85" workbookViewId="0">
      <pane ySplit="1" topLeftCell="A8" activePane="bottomLeft" state="frozen"/>
      <selection pane="bottomLeft" activeCell="E45" sqref="A45:XFD45"/>
    </sheetView>
  </sheetViews>
  <sheetFormatPr defaultColWidth="9.140625" defaultRowHeight="12" x14ac:dyDescent="0.25"/>
  <cols>
    <col min="1" max="1" width="14.42578125" style="1" customWidth="1"/>
    <col min="2" max="2" width="22.85546875" style="1" customWidth="1"/>
    <col min="3" max="4" width="23.85546875" style="1" customWidth="1"/>
    <col min="5" max="5" width="53.28515625" style="1" customWidth="1"/>
    <col min="6" max="6" width="35.42578125" style="1" customWidth="1"/>
    <col min="7" max="7" width="19.7109375" style="1" customWidth="1"/>
    <col min="8" max="10" width="27.28515625" style="1" customWidth="1"/>
    <col min="11" max="11" width="10.28515625" style="1" customWidth="1"/>
    <col min="12" max="13" width="11" style="1" customWidth="1"/>
    <col min="14" max="14" width="11.28515625" style="1" customWidth="1"/>
    <col min="15" max="15" width="14.140625" style="1" customWidth="1"/>
    <col min="16" max="16" width="16.140625" style="1" customWidth="1"/>
    <col min="17" max="17" width="16.42578125" style="1" customWidth="1"/>
    <col min="18" max="18" width="14.85546875" style="1" customWidth="1"/>
    <col min="19" max="19" width="58.42578125" style="1" customWidth="1"/>
    <col min="20" max="20" width="31.140625" style="1" customWidth="1"/>
    <col min="21" max="21" width="31.7109375" style="1" customWidth="1"/>
    <col min="22" max="22" width="53.28515625" style="1" customWidth="1"/>
    <col min="23" max="23" width="9.140625" style="1"/>
    <col min="24" max="24" width="23.140625" style="1" customWidth="1"/>
    <col min="25" max="16384" width="9.140625" style="1"/>
  </cols>
  <sheetData>
    <row r="1" spans="1:22" x14ac:dyDescent="0.25">
      <c r="B1" s="1" t="s">
        <v>120</v>
      </c>
      <c r="C1" s="3" t="s">
        <v>121</v>
      </c>
      <c r="D1" s="1" t="s">
        <v>122</v>
      </c>
      <c r="E1" s="1" t="s">
        <v>0</v>
      </c>
      <c r="F1" s="1" t="s">
        <v>105</v>
      </c>
      <c r="G1" s="1" t="s">
        <v>111</v>
      </c>
      <c r="H1" s="1" t="s">
        <v>110</v>
      </c>
      <c r="I1" s="1" t="s">
        <v>119</v>
      </c>
      <c r="J1" s="1" t="s">
        <v>118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89</v>
      </c>
      <c r="U1" s="1" t="s">
        <v>91</v>
      </c>
      <c r="V1" s="1" t="s">
        <v>109</v>
      </c>
    </row>
    <row r="2" spans="1:22" x14ac:dyDescent="0.25">
      <c r="A2" s="1">
        <v>95120895</v>
      </c>
      <c r="B2" s="2">
        <v>46119</v>
      </c>
      <c r="C2" s="2">
        <v>46119</v>
      </c>
      <c r="D2" s="2">
        <v>46114</v>
      </c>
      <c r="E2" s="1" t="s">
        <v>69</v>
      </c>
      <c r="F2" s="1" t="s">
        <v>108</v>
      </c>
      <c r="G2" s="1">
        <v>916</v>
      </c>
      <c r="H2" s="2">
        <v>46131</v>
      </c>
      <c r="I2" s="1">
        <f t="shared" ref="I2" si="0">(155000-G2)/(G2/(H2-B2))+(H2-B2)+B2</f>
        <v>48149.567685589522</v>
      </c>
      <c r="J2" s="1">
        <f>(I2-B2)/365</f>
        <v>5.563199138601429</v>
      </c>
      <c r="K2" s="1">
        <v>36</v>
      </c>
      <c r="L2" s="1">
        <v>35</v>
      </c>
      <c r="M2" s="1">
        <v>40</v>
      </c>
      <c r="N2" s="1">
        <v>40</v>
      </c>
      <c r="O2" s="1" t="s">
        <v>11</v>
      </c>
      <c r="P2" s="1" t="s">
        <v>11</v>
      </c>
      <c r="Q2" s="1">
        <v>46054</v>
      </c>
      <c r="R2" s="1">
        <v>46054</v>
      </c>
      <c r="S2" s="1" t="s">
        <v>70</v>
      </c>
      <c r="T2" s="1" t="s">
        <v>90</v>
      </c>
      <c r="U2" s="1" t="s">
        <v>106</v>
      </c>
      <c r="V2" s="1" t="s">
        <v>99</v>
      </c>
    </row>
    <row r="3" spans="1:22" x14ac:dyDescent="0.25">
      <c r="A3" s="1">
        <v>95121190</v>
      </c>
      <c r="B3" s="2">
        <v>45507</v>
      </c>
      <c r="C3" s="2">
        <v>46237</v>
      </c>
      <c r="D3" s="2">
        <v>46206</v>
      </c>
      <c r="E3" s="1" t="s">
        <v>13</v>
      </c>
      <c r="F3" s="1" t="s">
        <v>107</v>
      </c>
      <c r="G3" s="1" t="s">
        <v>107</v>
      </c>
      <c r="H3" s="2"/>
      <c r="K3" s="1">
        <v>42</v>
      </c>
      <c r="L3" s="1">
        <v>43</v>
      </c>
      <c r="M3" s="1">
        <v>49</v>
      </c>
      <c r="N3" s="1">
        <v>49</v>
      </c>
      <c r="O3" s="1" t="s">
        <v>14</v>
      </c>
      <c r="P3" s="1" t="s">
        <v>14</v>
      </c>
      <c r="Q3" s="1" t="s">
        <v>15</v>
      </c>
      <c r="R3" s="1" t="s">
        <v>14</v>
      </c>
      <c r="S3" s="1" t="s">
        <v>16</v>
      </c>
      <c r="U3" s="1" t="s">
        <v>106</v>
      </c>
      <c r="V3" s="1" t="s">
        <v>97</v>
      </c>
    </row>
    <row r="4" spans="1:22" x14ac:dyDescent="0.25">
      <c r="A4" s="1">
        <v>94303393</v>
      </c>
      <c r="B4" s="2">
        <v>45627</v>
      </c>
      <c r="C4" s="2">
        <v>46357</v>
      </c>
      <c r="D4" s="2">
        <v>46296</v>
      </c>
      <c r="E4" s="1" t="s">
        <v>17</v>
      </c>
      <c r="F4" s="1" t="s">
        <v>107</v>
      </c>
      <c r="G4" s="1" t="s">
        <v>107</v>
      </c>
      <c r="H4" s="2"/>
      <c r="K4" s="1">
        <v>56</v>
      </c>
      <c r="L4" s="1">
        <v>53</v>
      </c>
      <c r="M4" s="1">
        <v>39</v>
      </c>
      <c r="N4" s="1">
        <v>40</v>
      </c>
      <c r="O4" s="1" t="s">
        <v>18</v>
      </c>
      <c r="P4" s="1" t="s">
        <v>19</v>
      </c>
      <c r="Q4" s="1" t="s">
        <v>20</v>
      </c>
      <c r="R4" s="1" t="s">
        <v>20</v>
      </c>
      <c r="S4" s="1" t="s">
        <v>21</v>
      </c>
      <c r="U4" s="1" t="s">
        <v>93</v>
      </c>
      <c r="V4" s="1" t="s">
        <v>112</v>
      </c>
    </row>
    <row r="5" spans="1:22" x14ac:dyDescent="0.25">
      <c r="A5" s="1">
        <v>94305992</v>
      </c>
      <c r="B5" s="2">
        <v>45645</v>
      </c>
      <c r="C5" s="2">
        <v>46375</v>
      </c>
      <c r="D5" s="2">
        <v>46314</v>
      </c>
      <c r="E5" s="1" t="s">
        <v>22</v>
      </c>
      <c r="F5" s="1" t="s">
        <v>107</v>
      </c>
      <c r="G5" s="1" t="s">
        <v>107</v>
      </c>
      <c r="H5" s="2"/>
      <c r="K5" s="1">
        <v>40</v>
      </c>
      <c r="L5" s="1">
        <v>37</v>
      </c>
      <c r="M5" s="1">
        <v>37</v>
      </c>
      <c r="N5" s="1">
        <v>39</v>
      </c>
      <c r="O5" s="1" t="s">
        <v>23</v>
      </c>
      <c r="P5" s="1" t="s">
        <v>23</v>
      </c>
      <c r="Q5" s="1" t="s">
        <v>23</v>
      </c>
      <c r="R5" s="1" t="s">
        <v>24</v>
      </c>
      <c r="S5" s="1" t="s">
        <v>25</v>
      </c>
      <c r="U5" s="1" t="s">
        <v>93</v>
      </c>
      <c r="V5" s="1" t="s">
        <v>112</v>
      </c>
    </row>
    <row r="6" spans="1:22" x14ac:dyDescent="0.25">
      <c r="A6" s="1">
        <v>94309499</v>
      </c>
      <c r="B6" s="2">
        <v>45652</v>
      </c>
      <c r="C6" s="2">
        <v>46382</v>
      </c>
      <c r="D6" s="2">
        <v>46321</v>
      </c>
      <c r="E6" s="1" t="s">
        <v>26</v>
      </c>
      <c r="F6" s="1" t="s">
        <v>107</v>
      </c>
      <c r="G6" s="1" t="s">
        <v>107</v>
      </c>
      <c r="H6" s="2"/>
      <c r="K6" s="1">
        <v>47</v>
      </c>
      <c r="L6" s="1">
        <v>41</v>
      </c>
      <c r="M6" s="1">
        <v>38</v>
      </c>
      <c r="N6" s="1">
        <v>39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27</v>
      </c>
      <c r="U6" s="1" t="s">
        <v>93</v>
      </c>
      <c r="V6" s="1" t="s">
        <v>95</v>
      </c>
    </row>
    <row r="7" spans="1:22" x14ac:dyDescent="0.25">
      <c r="A7" s="1">
        <v>94308293</v>
      </c>
      <c r="B7" s="2">
        <v>45653</v>
      </c>
      <c r="C7" s="2">
        <v>46383</v>
      </c>
      <c r="D7" s="2">
        <v>46322</v>
      </c>
      <c r="E7" s="1" t="s">
        <v>28</v>
      </c>
      <c r="F7" s="1" t="s">
        <v>107</v>
      </c>
      <c r="G7" s="1" t="s">
        <v>107</v>
      </c>
      <c r="H7" s="2"/>
      <c r="K7" s="1">
        <v>35</v>
      </c>
      <c r="L7" s="1">
        <v>34</v>
      </c>
      <c r="M7" s="1">
        <v>35</v>
      </c>
      <c r="N7" s="1">
        <v>33</v>
      </c>
      <c r="O7" s="1" t="s">
        <v>29</v>
      </c>
      <c r="P7" s="1" t="s">
        <v>30</v>
      </c>
      <c r="Q7" s="1" t="s">
        <v>30</v>
      </c>
      <c r="R7" s="1" t="s">
        <v>30</v>
      </c>
      <c r="S7" s="1" t="s">
        <v>21</v>
      </c>
      <c r="U7" s="1" t="s">
        <v>93</v>
      </c>
      <c r="V7" s="1" t="s">
        <v>95</v>
      </c>
    </row>
    <row r="8" spans="1:22" x14ac:dyDescent="0.25">
      <c r="A8" s="1">
        <v>94305794</v>
      </c>
      <c r="B8" s="2">
        <v>45668</v>
      </c>
      <c r="C8" s="2">
        <v>46398</v>
      </c>
      <c r="D8" s="2">
        <v>46337</v>
      </c>
      <c r="E8" s="1" t="s">
        <v>22</v>
      </c>
      <c r="F8" s="1" t="s">
        <v>107</v>
      </c>
      <c r="G8" s="1" t="s">
        <v>107</v>
      </c>
      <c r="H8" s="2"/>
      <c r="K8" s="1">
        <v>40</v>
      </c>
      <c r="L8" s="1">
        <v>38</v>
      </c>
      <c r="M8" s="1">
        <v>32</v>
      </c>
      <c r="N8" s="1">
        <v>36</v>
      </c>
      <c r="O8" s="1" t="s">
        <v>31</v>
      </c>
      <c r="P8" s="1" t="s">
        <v>31</v>
      </c>
      <c r="Q8" s="1" t="s">
        <v>31</v>
      </c>
      <c r="R8" s="1" t="s">
        <v>31</v>
      </c>
      <c r="S8" s="1" t="s">
        <v>25</v>
      </c>
      <c r="U8" s="1" t="s">
        <v>93</v>
      </c>
      <c r="V8" s="1" t="s">
        <v>113</v>
      </c>
    </row>
    <row r="9" spans="1:22" x14ac:dyDescent="0.25">
      <c r="A9" s="1">
        <v>94307790</v>
      </c>
      <c r="B9" s="2">
        <v>45668</v>
      </c>
      <c r="C9" s="2">
        <v>46398</v>
      </c>
      <c r="D9" s="2">
        <v>46337</v>
      </c>
      <c r="E9" s="1" t="s">
        <v>22</v>
      </c>
      <c r="F9" s="1" t="s">
        <v>107</v>
      </c>
      <c r="G9" s="1" t="s">
        <v>107</v>
      </c>
      <c r="H9" s="2"/>
      <c r="K9" s="1">
        <v>45</v>
      </c>
      <c r="L9" s="1">
        <v>41</v>
      </c>
      <c r="M9" s="1">
        <v>33</v>
      </c>
      <c r="N9" s="1">
        <v>40</v>
      </c>
      <c r="O9" s="1" t="s">
        <v>20</v>
      </c>
      <c r="P9" s="1" t="s">
        <v>20</v>
      </c>
      <c r="Q9" s="1" t="s">
        <v>20</v>
      </c>
      <c r="R9" s="1" t="s">
        <v>20</v>
      </c>
      <c r="S9" s="1" t="s">
        <v>25</v>
      </c>
      <c r="U9" s="1" t="s">
        <v>93</v>
      </c>
      <c r="V9" s="1" t="s">
        <v>95</v>
      </c>
    </row>
    <row r="10" spans="1:22" x14ac:dyDescent="0.25">
      <c r="A10" s="1">
        <v>94307691</v>
      </c>
      <c r="B10" s="2">
        <v>45671</v>
      </c>
      <c r="C10" s="2">
        <v>46401</v>
      </c>
      <c r="D10" s="2">
        <v>46340</v>
      </c>
      <c r="E10" s="1" t="s">
        <v>26</v>
      </c>
      <c r="F10" s="1" t="s">
        <v>107</v>
      </c>
      <c r="G10" s="1" t="s">
        <v>107</v>
      </c>
      <c r="H10" s="2"/>
      <c r="K10" s="1">
        <v>38</v>
      </c>
      <c r="L10" s="1">
        <v>45</v>
      </c>
      <c r="M10" s="1">
        <v>45</v>
      </c>
      <c r="N10" s="1">
        <v>36</v>
      </c>
      <c r="O10" s="1" t="s">
        <v>31</v>
      </c>
      <c r="P10" s="1" t="s">
        <v>31</v>
      </c>
      <c r="Q10" s="1" t="s">
        <v>31</v>
      </c>
      <c r="R10" s="1" t="s">
        <v>31</v>
      </c>
      <c r="S10" s="1" t="s">
        <v>27</v>
      </c>
      <c r="U10" s="1" t="s">
        <v>106</v>
      </c>
      <c r="V10" s="1" t="s">
        <v>103</v>
      </c>
    </row>
    <row r="11" spans="1:22" x14ac:dyDescent="0.25">
      <c r="A11" s="1">
        <v>95120598</v>
      </c>
      <c r="B11" s="2">
        <v>45324</v>
      </c>
      <c r="C11" s="2">
        <v>46420</v>
      </c>
      <c r="D11" s="2">
        <v>46358</v>
      </c>
      <c r="E11" s="1" t="s">
        <v>32</v>
      </c>
      <c r="F11" s="1" t="s">
        <v>108</v>
      </c>
      <c r="G11" s="1">
        <v>105750</v>
      </c>
      <c r="H11" s="2">
        <v>46132</v>
      </c>
      <c r="I11" s="1">
        <f>(155000-G11)/(G11/(H11-B11))+(H11-B11)+B11</f>
        <v>46508.302600472816</v>
      </c>
      <c r="J11" s="1">
        <f t="shared" ref="J11:J57" si="1">(I11-B11)/365</f>
        <v>3.2446646588296337</v>
      </c>
      <c r="K11" s="1">
        <v>44</v>
      </c>
      <c r="L11" s="1">
        <v>42</v>
      </c>
      <c r="M11" s="1">
        <v>40</v>
      </c>
      <c r="N11" s="1">
        <v>43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34</v>
      </c>
      <c r="U11" s="1" t="s">
        <v>93</v>
      </c>
      <c r="V11" s="1" t="s">
        <v>95</v>
      </c>
    </row>
    <row r="12" spans="1:22" x14ac:dyDescent="0.25">
      <c r="A12" s="1">
        <v>95121091</v>
      </c>
      <c r="B12" s="2">
        <v>45344</v>
      </c>
      <c r="C12" s="2">
        <v>46440</v>
      </c>
      <c r="D12" s="2">
        <v>46378</v>
      </c>
      <c r="E12" s="1" t="s">
        <v>22</v>
      </c>
      <c r="F12" s="1" t="s">
        <v>108</v>
      </c>
      <c r="G12" s="1">
        <v>131962</v>
      </c>
      <c r="H12" s="2">
        <v>46129</v>
      </c>
      <c r="I12" s="1">
        <f t="shared" ref="I12:I57" si="2">(155000-G12)/(G12/(H12-B12))+(H12-B12)+B12</f>
        <v>46266.04574044043</v>
      </c>
      <c r="J12" s="1">
        <f t="shared" si="1"/>
        <v>2.5261527135354238</v>
      </c>
      <c r="K12" s="1">
        <v>51</v>
      </c>
      <c r="L12" s="1">
        <v>47</v>
      </c>
      <c r="M12" s="1">
        <v>40</v>
      </c>
      <c r="N12" s="1">
        <v>44</v>
      </c>
      <c r="O12" s="1" t="s">
        <v>35</v>
      </c>
      <c r="P12" s="1" t="s">
        <v>35</v>
      </c>
      <c r="Q12" s="1" t="s">
        <v>35</v>
      </c>
      <c r="R12" s="1" t="s">
        <v>35</v>
      </c>
      <c r="S12" s="1" t="s">
        <v>25</v>
      </c>
      <c r="U12" s="1" t="s">
        <v>93</v>
      </c>
      <c r="V12" s="1" t="s">
        <v>112</v>
      </c>
    </row>
    <row r="13" spans="1:22" x14ac:dyDescent="0.25">
      <c r="A13" s="1">
        <v>95090593</v>
      </c>
      <c r="B13" s="2">
        <v>45386</v>
      </c>
      <c r="C13" s="2">
        <v>46481</v>
      </c>
      <c r="D13" s="2">
        <v>46422</v>
      </c>
      <c r="E13" s="1" t="s">
        <v>36</v>
      </c>
      <c r="F13" s="1" t="s">
        <v>108</v>
      </c>
      <c r="G13" s="1">
        <v>89580</v>
      </c>
      <c r="H13" s="2">
        <v>46129</v>
      </c>
      <c r="I13" s="1">
        <f t="shared" si="2"/>
        <v>46671.610627372182</v>
      </c>
      <c r="J13" s="1">
        <f t="shared" si="1"/>
        <v>3.5222208969100866</v>
      </c>
      <c r="K13" s="1">
        <v>42</v>
      </c>
      <c r="L13" s="1">
        <v>40</v>
      </c>
      <c r="M13" s="1">
        <v>50</v>
      </c>
      <c r="N13" s="1">
        <v>50</v>
      </c>
      <c r="O13" s="1" t="s">
        <v>11</v>
      </c>
      <c r="P13" s="1" t="s">
        <v>11</v>
      </c>
      <c r="Q13" s="1" t="s">
        <v>37</v>
      </c>
      <c r="R13" s="1" t="s">
        <v>38</v>
      </c>
      <c r="S13" s="1" t="s">
        <v>21</v>
      </c>
      <c r="T13" s="1" t="s">
        <v>39</v>
      </c>
      <c r="U13" s="1" t="s">
        <v>106</v>
      </c>
      <c r="V13" s="1" t="s">
        <v>98</v>
      </c>
    </row>
    <row r="14" spans="1:22" x14ac:dyDescent="0.25">
      <c r="A14" s="1">
        <v>95120390</v>
      </c>
      <c r="B14" s="2">
        <v>45401</v>
      </c>
      <c r="C14" s="2">
        <v>46496</v>
      </c>
      <c r="D14" s="2">
        <v>46437</v>
      </c>
      <c r="E14" s="1" t="s">
        <v>36</v>
      </c>
      <c r="F14" s="1" t="s">
        <v>108</v>
      </c>
      <c r="G14" s="1">
        <v>69413</v>
      </c>
      <c r="H14" s="2">
        <v>46133</v>
      </c>
      <c r="I14" s="1">
        <f t="shared" si="2"/>
        <v>47035.564130638355</v>
      </c>
      <c r="J14" s="1">
        <f t="shared" si="1"/>
        <v>4.4782578921598768</v>
      </c>
      <c r="K14" s="1">
        <v>43</v>
      </c>
      <c r="L14" s="1">
        <v>44</v>
      </c>
      <c r="M14" s="1">
        <v>43</v>
      </c>
      <c r="N14" s="1">
        <v>42</v>
      </c>
      <c r="O14" s="1" t="s">
        <v>11</v>
      </c>
      <c r="P14" s="1" t="s">
        <v>11</v>
      </c>
      <c r="Q14" s="1" t="s">
        <v>11</v>
      </c>
      <c r="R14" s="1" t="s">
        <v>11</v>
      </c>
      <c r="S14" s="1" t="s">
        <v>40</v>
      </c>
      <c r="U14" s="1" t="s">
        <v>106</v>
      </c>
      <c r="V14" s="1" t="s">
        <v>103</v>
      </c>
    </row>
    <row r="15" spans="1:22" x14ac:dyDescent="0.25">
      <c r="A15" s="1">
        <v>95090890</v>
      </c>
      <c r="B15" s="2">
        <v>45410</v>
      </c>
      <c r="C15" s="2">
        <v>46505</v>
      </c>
      <c r="D15" s="2">
        <v>46446</v>
      </c>
      <c r="E15" s="1" t="s">
        <v>32</v>
      </c>
      <c r="F15" s="1" t="s">
        <v>108</v>
      </c>
      <c r="G15" s="1">
        <v>95341</v>
      </c>
      <c r="H15" s="2">
        <v>46129</v>
      </c>
      <c r="I15" s="1">
        <f t="shared" si="2"/>
        <v>46578.9094932925</v>
      </c>
      <c r="J15" s="1">
        <f t="shared" si="1"/>
        <v>3.2024917624452054</v>
      </c>
      <c r="K15" s="1">
        <v>44</v>
      </c>
      <c r="L15" s="1">
        <v>48</v>
      </c>
      <c r="M15" s="1">
        <v>43</v>
      </c>
      <c r="N15" s="1">
        <v>49</v>
      </c>
      <c r="O15" s="1" t="s">
        <v>41</v>
      </c>
      <c r="P15" s="1" t="s">
        <v>41</v>
      </c>
      <c r="Q15" s="1" t="s">
        <v>41</v>
      </c>
      <c r="R15" s="1" t="s">
        <v>41</v>
      </c>
      <c r="S15" s="1" t="s">
        <v>34</v>
      </c>
      <c r="U15" s="1" t="s">
        <v>93</v>
      </c>
      <c r="V15" s="1" t="s">
        <v>114</v>
      </c>
    </row>
    <row r="16" spans="1:22" x14ac:dyDescent="0.25">
      <c r="A16" s="1">
        <v>95120499</v>
      </c>
      <c r="B16" s="2">
        <v>45411</v>
      </c>
      <c r="C16" s="2">
        <v>46506</v>
      </c>
      <c r="D16" s="2">
        <v>46446</v>
      </c>
      <c r="E16" s="1" t="s">
        <v>10</v>
      </c>
      <c r="F16" s="1" t="s">
        <v>108</v>
      </c>
      <c r="G16" s="1">
        <v>64209</v>
      </c>
      <c r="H16" s="2">
        <v>46128</v>
      </c>
      <c r="I16" s="1">
        <f t="shared" si="2"/>
        <v>47141.832126337431</v>
      </c>
      <c r="J16" s="1">
        <f t="shared" si="1"/>
        <v>4.7420058255820026</v>
      </c>
      <c r="K16" s="1">
        <v>37</v>
      </c>
      <c r="L16" s="1">
        <v>32</v>
      </c>
      <c r="M16" s="1">
        <v>45</v>
      </c>
      <c r="N16" s="1">
        <v>49</v>
      </c>
      <c r="O16" s="1" t="s">
        <v>11</v>
      </c>
      <c r="P16" s="1" t="s">
        <v>41</v>
      </c>
      <c r="Q16" s="1" t="s">
        <v>41</v>
      </c>
      <c r="R16" s="1" t="s">
        <v>11</v>
      </c>
      <c r="S16" s="1" t="s">
        <v>42</v>
      </c>
      <c r="U16" s="1" t="s">
        <v>93</v>
      </c>
      <c r="V16" s="1" t="s">
        <v>114</v>
      </c>
    </row>
    <row r="17" spans="1:22" x14ac:dyDescent="0.25">
      <c r="A17" s="1">
        <v>95090999</v>
      </c>
      <c r="B17" s="2">
        <v>45419</v>
      </c>
      <c r="C17" s="2">
        <v>46514</v>
      </c>
      <c r="D17" s="2">
        <v>46453</v>
      </c>
      <c r="E17" s="1" t="s">
        <v>36</v>
      </c>
      <c r="F17" s="1" t="s">
        <v>108</v>
      </c>
      <c r="G17" s="1">
        <v>71496</v>
      </c>
      <c r="H17" s="2">
        <v>46133</v>
      </c>
      <c r="I17" s="1">
        <f t="shared" si="2"/>
        <v>46966.918764686139</v>
      </c>
      <c r="J17" s="1">
        <f t="shared" si="1"/>
        <v>4.2408733279072308</v>
      </c>
      <c r="K17" s="1">
        <v>40</v>
      </c>
      <c r="L17" s="1">
        <v>40</v>
      </c>
      <c r="M17" s="1">
        <v>47</v>
      </c>
      <c r="N17" s="1">
        <v>42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40</v>
      </c>
      <c r="U17" s="1" t="s">
        <v>93</v>
      </c>
      <c r="V17" s="1" t="s">
        <v>95</v>
      </c>
    </row>
    <row r="18" spans="1:22" x14ac:dyDescent="0.25">
      <c r="A18" s="1">
        <v>95120994</v>
      </c>
      <c r="B18" s="2">
        <v>45411</v>
      </c>
      <c r="C18" s="2">
        <v>46506</v>
      </c>
      <c r="D18" s="2">
        <v>46474</v>
      </c>
      <c r="E18" s="1" t="s">
        <v>10</v>
      </c>
      <c r="F18" s="1" t="s">
        <v>108</v>
      </c>
      <c r="G18" s="1">
        <v>74588</v>
      </c>
      <c r="H18" s="2">
        <v>46128</v>
      </c>
      <c r="I18" s="1">
        <f t="shared" si="2"/>
        <v>46900.984984179762</v>
      </c>
      <c r="J18" s="1">
        <f t="shared" si="1"/>
        <v>4.0821506415883899</v>
      </c>
      <c r="K18" s="1">
        <v>44</v>
      </c>
      <c r="L18" s="1">
        <v>39</v>
      </c>
      <c r="M18" s="1">
        <v>35</v>
      </c>
      <c r="N18" s="1">
        <v>35</v>
      </c>
      <c r="O18" s="1" t="s">
        <v>41</v>
      </c>
      <c r="P18" s="1" t="s">
        <v>41</v>
      </c>
      <c r="Q18" s="1" t="s">
        <v>41</v>
      </c>
      <c r="R18" s="1" t="s">
        <v>11</v>
      </c>
      <c r="S18" s="1" t="s">
        <v>12</v>
      </c>
      <c r="U18" s="1" t="s">
        <v>93</v>
      </c>
      <c r="V18" s="1" t="s">
        <v>95</v>
      </c>
    </row>
    <row r="19" spans="1:22" x14ac:dyDescent="0.25">
      <c r="A19" s="1">
        <v>95090395</v>
      </c>
      <c r="B19" s="2">
        <v>45423</v>
      </c>
      <c r="C19" s="2">
        <v>46518</v>
      </c>
      <c r="D19" s="2">
        <v>46488</v>
      </c>
      <c r="E19" s="1" t="s">
        <v>10</v>
      </c>
      <c r="F19" s="1" t="s">
        <v>108</v>
      </c>
      <c r="G19" s="1">
        <v>73647</v>
      </c>
      <c r="H19" s="2">
        <v>46129</v>
      </c>
      <c r="I19" s="1">
        <f t="shared" si="2"/>
        <v>46908.871793827311</v>
      </c>
      <c r="J19" s="1">
        <f t="shared" si="1"/>
        <v>4.0708816269241401</v>
      </c>
      <c r="K19" s="1">
        <v>38</v>
      </c>
      <c r="L19" s="1">
        <v>37</v>
      </c>
      <c r="M19" s="1">
        <v>40</v>
      </c>
      <c r="N19" s="1">
        <v>45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12</v>
      </c>
      <c r="U19" s="1" t="s">
        <v>93</v>
      </c>
      <c r="V19" s="1" t="s">
        <v>115</v>
      </c>
    </row>
    <row r="20" spans="1:22" x14ac:dyDescent="0.25">
      <c r="A20" s="1">
        <v>95090692</v>
      </c>
      <c r="B20" s="2">
        <v>45426</v>
      </c>
      <c r="C20" s="2">
        <v>46521</v>
      </c>
      <c r="D20" s="2">
        <v>46491</v>
      </c>
      <c r="E20" s="1" t="s">
        <v>44</v>
      </c>
      <c r="F20" s="1" t="s">
        <v>108</v>
      </c>
      <c r="G20" s="1">
        <v>112275</v>
      </c>
      <c r="H20" s="2">
        <v>46133</v>
      </c>
      <c r="I20" s="1">
        <f t="shared" si="2"/>
        <v>46402.040970830552</v>
      </c>
      <c r="J20" s="1">
        <f t="shared" si="1"/>
        <v>2.6740848515905546</v>
      </c>
      <c r="K20" s="1">
        <v>73</v>
      </c>
      <c r="L20" s="1">
        <v>73</v>
      </c>
      <c r="M20" s="1">
        <v>73</v>
      </c>
      <c r="N20" s="1">
        <v>73</v>
      </c>
      <c r="O20" s="1" t="s">
        <v>43</v>
      </c>
      <c r="P20" s="1" t="s">
        <v>43</v>
      </c>
      <c r="Q20" s="1" t="s">
        <v>43</v>
      </c>
      <c r="R20" s="1" t="s">
        <v>43</v>
      </c>
      <c r="S20" s="1" t="s">
        <v>45</v>
      </c>
      <c r="U20" s="1" t="s">
        <v>93</v>
      </c>
      <c r="V20" s="1" t="s">
        <v>104</v>
      </c>
    </row>
    <row r="21" spans="1:22" x14ac:dyDescent="0.25">
      <c r="A21" s="1">
        <v>95091096</v>
      </c>
      <c r="B21" s="2">
        <v>45433</v>
      </c>
      <c r="C21" s="2">
        <v>46528</v>
      </c>
      <c r="D21" s="2">
        <v>46498</v>
      </c>
      <c r="E21" s="1" t="s">
        <v>36</v>
      </c>
      <c r="F21" s="1" t="s">
        <v>108</v>
      </c>
      <c r="G21" s="1">
        <v>83291</v>
      </c>
      <c r="H21" s="2">
        <v>46133</v>
      </c>
      <c r="I21" s="1">
        <f t="shared" si="2"/>
        <v>46735.661752170105</v>
      </c>
      <c r="J21" s="1">
        <f t="shared" si="1"/>
        <v>3.5689363073153548</v>
      </c>
      <c r="K21" s="1">
        <v>39</v>
      </c>
      <c r="L21" s="1">
        <v>41</v>
      </c>
      <c r="M21" s="1">
        <v>36</v>
      </c>
      <c r="N21" s="1">
        <v>37</v>
      </c>
      <c r="O21" s="1" t="s">
        <v>43</v>
      </c>
      <c r="P21" s="1" t="s">
        <v>43</v>
      </c>
      <c r="Q21" s="1" t="s">
        <v>43</v>
      </c>
      <c r="R21" s="1" t="s">
        <v>43</v>
      </c>
      <c r="S21" s="1" t="s">
        <v>40</v>
      </c>
      <c r="U21" s="1" t="s">
        <v>93</v>
      </c>
      <c r="V21" s="1" t="s">
        <v>104</v>
      </c>
    </row>
    <row r="22" spans="1:22" x14ac:dyDescent="0.25">
      <c r="A22" s="1">
        <v>95090494</v>
      </c>
      <c r="B22" s="2">
        <v>45457</v>
      </c>
      <c r="C22" s="2">
        <v>46552</v>
      </c>
      <c r="D22" s="2">
        <v>46521</v>
      </c>
      <c r="E22" s="1" t="s">
        <v>13</v>
      </c>
      <c r="F22" s="1" t="s">
        <v>108</v>
      </c>
      <c r="G22" s="1">
        <v>72987</v>
      </c>
      <c r="H22" s="2">
        <v>46133</v>
      </c>
      <c r="I22" s="1">
        <f t="shared" si="2"/>
        <v>46892.598120213188</v>
      </c>
      <c r="J22" s="1">
        <f t="shared" si="1"/>
        <v>3.9331455348306519</v>
      </c>
      <c r="K22" s="1">
        <v>41</v>
      </c>
      <c r="L22" s="1">
        <v>45</v>
      </c>
      <c r="M22" s="1">
        <v>46</v>
      </c>
      <c r="N22" s="1">
        <v>47</v>
      </c>
      <c r="O22" s="1" t="s">
        <v>46</v>
      </c>
      <c r="P22" s="1" t="s">
        <v>46</v>
      </c>
      <c r="Q22" s="1" t="s">
        <v>47</v>
      </c>
      <c r="R22" s="1" t="s">
        <v>46</v>
      </c>
      <c r="S22" s="1" t="s">
        <v>48</v>
      </c>
      <c r="U22" s="1" t="s">
        <v>93</v>
      </c>
      <c r="V22" s="1" t="s">
        <v>114</v>
      </c>
    </row>
    <row r="23" spans="1:22" x14ac:dyDescent="0.25">
      <c r="A23" s="1">
        <v>94306693</v>
      </c>
      <c r="B23" s="2">
        <v>45502</v>
      </c>
      <c r="C23" s="2">
        <v>46597</v>
      </c>
      <c r="D23" s="2">
        <v>46536</v>
      </c>
      <c r="E23" s="1" t="s">
        <v>49</v>
      </c>
      <c r="F23" s="1" t="s">
        <v>108</v>
      </c>
      <c r="G23" s="1">
        <v>47187</v>
      </c>
      <c r="H23" s="2">
        <v>46132</v>
      </c>
      <c r="I23" s="1">
        <f t="shared" si="2"/>
        <v>47571.425901201605</v>
      </c>
      <c r="J23" s="1">
        <f t="shared" si="1"/>
        <v>5.6696600032920674</v>
      </c>
      <c r="K23" s="1">
        <v>50</v>
      </c>
      <c r="L23" s="1">
        <v>50</v>
      </c>
      <c r="M23" s="1">
        <v>47</v>
      </c>
      <c r="N23" s="1">
        <v>47</v>
      </c>
      <c r="O23" s="1" t="s">
        <v>50</v>
      </c>
      <c r="P23" s="1" t="s">
        <v>50</v>
      </c>
      <c r="Q23" s="1" t="s">
        <v>50</v>
      </c>
      <c r="R23" s="1" t="s">
        <v>50</v>
      </c>
      <c r="S23" s="1" t="s">
        <v>51</v>
      </c>
      <c r="U23" s="1" t="s">
        <v>106</v>
      </c>
      <c r="V23" s="1" t="s">
        <v>98</v>
      </c>
    </row>
    <row r="24" spans="1:22" x14ac:dyDescent="0.25">
      <c r="A24" s="1">
        <v>95091195</v>
      </c>
      <c r="B24" s="2">
        <v>45473</v>
      </c>
      <c r="C24" s="2">
        <v>46568</v>
      </c>
      <c r="D24" s="2">
        <v>46537</v>
      </c>
      <c r="E24" s="1" t="s">
        <v>22</v>
      </c>
      <c r="F24" s="1" t="s">
        <v>108</v>
      </c>
      <c r="G24" s="1">
        <v>103551</v>
      </c>
      <c r="H24" s="2">
        <v>46128</v>
      </c>
      <c r="I24" s="1">
        <f t="shared" si="2"/>
        <v>46453.434761615048</v>
      </c>
      <c r="J24" s="1">
        <f t="shared" si="1"/>
        <v>2.6861226345617757</v>
      </c>
      <c r="K24" s="1">
        <v>75</v>
      </c>
      <c r="L24" s="1">
        <v>71</v>
      </c>
      <c r="M24" s="1">
        <v>74</v>
      </c>
      <c r="N24" s="1">
        <v>74</v>
      </c>
      <c r="O24" s="1" t="s">
        <v>11</v>
      </c>
      <c r="P24" s="1" t="s">
        <v>11</v>
      </c>
      <c r="Q24" s="1" t="s">
        <v>11</v>
      </c>
      <c r="R24" s="1" t="s">
        <v>11</v>
      </c>
      <c r="S24" s="1" t="s">
        <v>25</v>
      </c>
      <c r="U24" s="1" t="s">
        <v>93</v>
      </c>
      <c r="V24" s="1" t="s">
        <v>116</v>
      </c>
    </row>
    <row r="25" spans="1:22" x14ac:dyDescent="0.25">
      <c r="A25" s="1">
        <v>94310190</v>
      </c>
      <c r="B25" s="2">
        <v>45515</v>
      </c>
      <c r="C25" s="2">
        <v>46610</v>
      </c>
      <c r="D25" s="2">
        <v>46549</v>
      </c>
      <c r="E25" s="1" t="s">
        <v>36</v>
      </c>
      <c r="F25" s="1" t="s">
        <v>108</v>
      </c>
      <c r="G25" s="1">
        <v>53271</v>
      </c>
      <c r="H25" s="2">
        <v>46129</v>
      </c>
      <c r="I25" s="1">
        <f t="shared" si="2"/>
        <v>47301.525501680087</v>
      </c>
      <c r="J25" s="1">
        <f t="shared" si="1"/>
        <v>4.8945904155618836</v>
      </c>
      <c r="K25" s="1">
        <v>46</v>
      </c>
      <c r="L25" s="1">
        <v>49</v>
      </c>
      <c r="M25" s="1">
        <v>51</v>
      </c>
      <c r="N25" s="1">
        <v>49</v>
      </c>
      <c r="O25" s="1" t="s">
        <v>52</v>
      </c>
      <c r="P25" s="1" t="s">
        <v>53</v>
      </c>
      <c r="Q25" s="1" t="s">
        <v>53</v>
      </c>
      <c r="R25" s="1" t="s">
        <v>53</v>
      </c>
      <c r="S25" s="1" t="s">
        <v>40</v>
      </c>
      <c r="U25" s="1" t="s">
        <v>93</v>
      </c>
      <c r="V25" s="1" t="s">
        <v>94</v>
      </c>
    </row>
    <row r="26" spans="1:22" x14ac:dyDescent="0.25">
      <c r="A26" s="1">
        <v>94305091</v>
      </c>
      <c r="B26" s="2">
        <v>45516</v>
      </c>
      <c r="C26" s="2">
        <v>46611</v>
      </c>
      <c r="D26" s="2">
        <v>46550</v>
      </c>
      <c r="E26" s="1" t="s">
        <v>36</v>
      </c>
      <c r="F26" s="1" t="s">
        <v>108</v>
      </c>
      <c r="G26" s="1">
        <v>55202</v>
      </c>
      <c r="H26" s="2">
        <v>46132</v>
      </c>
      <c r="I26" s="1">
        <f t="shared" si="2"/>
        <v>47245.647476540704</v>
      </c>
      <c r="J26" s="1">
        <f t="shared" si="1"/>
        <v>4.7387602097005583</v>
      </c>
      <c r="K26" s="1">
        <v>54</v>
      </c>
      <c r="L26" s="1">
        <v>47</v>
      </c>
      <c r="M26" s="1">
        <v>44</v>
      </c>
      <c r="N26" s="1">
        <v>44</v>
      </c>
      <c r="O26" s="1" t="s">
        <v>53</v>
      </c>
      <c r="P26" s="1" t="s">
        <v>52</v>
      </c>
      <c r="Q26" s="1" t="s">
        <v>52</v>
      </c>
      <c r="R26" s="1" t="s">
        <v>52</v>
      </c>
      <c r="S26" s="1" t="s">
        <v>40</v>
      </c>
      <c r="U26" s="1" t="s">
        <v>93</v>
      </c>
      <c r="V26" s="1" t="s">
        <v>95</v>
      </c>
    </row>
    <row r="27" spans="1:22" x14ac:dyDescent="0.25">
      <c r="A27" s="1">
        <v>94304490</v>
      </c>
      <c r="B27" s="2">
        <v>45527</v>
      </c>
      <c r="C27" s="2">
        <v>46622</v>
      </c>
      <c r="D27" s="2">
        <v>46561</v>
      </c>
      <c r="E27" s="1" t="s">
        <v>54</v>
      </c>
      <c r="F27" s="1" t="s">
        <v>108</v>
      </c>
      <c r="G27" s="1">
        <v>70482</v>
      </c>
      <c r="H27" s="2">
        <v>46128</v>
      </c>
      <c r="I27" s="1">
        <f t="shared" si="2"/>
        <v>46848.684969211994</v>
      </c>
      <c r="J27" s="1">
        <f t="shared" si="1"/>
        <v>3.6210547101698465</v>
      </c>
      <c r="K27" s="1">
        <v>47</v>
      </c>
      <c r="L27" s="1">
        <v>45</v>
      </c>
      <c r="M27" s="1">
        <v>42</v>
      </c>
      <c r="N27" s="1">
        <v>39</v>
      </c>
      <c r="O27" s="1" t="s">
        <v>52</v>
      </c>
      <c r="P27" s="1" t="s">
        <v>52</v>
      </c>
      <c r="Q27" s="1" t="s">
        <v>52</v>
      </c>
      <c r="R27" s="1" t="s">
        <v>52</v>
      </c>
      <c r="S27" s="1" t="s">
        <v>55</v>
      </c>
      <c r="T27" s="1" t="s">
        <v>56</v>
      </c>
      <c r="U27" s="1" t="s">
        <v>93</v>
      </c>
      <c r="V27" s="1" t="s">
        <v>116</v>
      </c>
    </row>
    <row r="28" spans="1:22" x14ac:dyDescent="0.25">
      <c r="A28" s="1">
        <v>94305299</v>
      </c>
      <c r="B28" s="2">
        <v>45543</v>
      </c>
      <c r="C28" s="2">
        <v>46638</v>
      </c>
      <c r="D28" s="2">
        <v>46576</v>
      </c>
      <c r="E28" s="1" t="s">
        <v>36</v>
      </c>
      <c r="F28" s="1" t="s">
        <v>108</v>
      </c>
      <c r="G28" s="1">
        <v>87034</v>
      </c>
      <c r="H28" s="2">
        <v>46128</v>
      </c>
      <c r="I28" s="1">
        <f t="shared" si="2"/>
        <v>46584.834225704893</v>
      </c>
      <c r="J28" s="1">
        <f t="shared" si="1"/>
        <v>2.8543403443969684</v>
      </c>
      <c r="K28" s="1">
        <v>48</v>
      </c>
      <c r="L28" s="1">
        <v>48</v>
      </c>
      <c r="M28" s="1">
        <v>48</v>
      </c>
      <c r="N28" s="1">
        <v>44</v>
      </c>
      <c r="O28" s="1" t="s">
        <v>57</v>
      </c>
      <c r="P28" s="1" t="s">
        <v>57</v>
      </c>
      <c r="Q28" s="1" t="s">
        <v>57</v>
      </c>
      <c r="R28" s="1" t="s">
        <v>57</v>
      </c>
      <c r="S28" s="1" t="s">
        <v>40</v>
      </c>
      <c r="U28" s="1" t="s">
        <v>106</v>
      </c>
      <c r="V28" s="1" t="s">
        <v>96</v>
      </c>
    </row>
    <row r="29" spans="1:22" x14ac:dyDescent="0.25">
      <c r="A29" s="1">
        <v>94302890</v>
      </c>
      <c r="B29" s="2">
        <v>45569</v>
      </c>
      <c r="C29" s="2">
        <v>46664</v>
      </c>
      <c r="D29" s="2">
        <v>46603</v>
      </c>
      <c r="E29" s="1" t="s">
        <v>22</v>
      </c>
      <c r="F29" s="1" t="s">
        <v>108</v>
      </c>
      <c r="G29" s="1">
        <v>70611</v>
      </c>
      <c r="H29" s="2">
        <v>46133</v>
      </c>
      <c r="I29" s="1">
        <f t="shared" si="2"/>
        <v>46807.050728640017</v>
      </c>
      <c r="J29" s="1">
        <f t="shared" si="1"/>
        <v>3.3919198044931975</v>
      </c>
      <c r="K29" s="1">
        <v>43</v>
      </c>
      <c r="L29" s="1">
        <v>43</v>
      </c>
      <c r="M29" s="1">
        <v>41</v>
      </c>
      <c r="N29" s="1">
        <v>42</v>
      </c>
      <c r="O29" s="1" t="s">
        <v>37</v>
      </c>
      <c r="P29" s="1" t="s">
        <v>37</v>
      </c>
      <c r="Q29" s="1" t="s">
        <v>20</v>
      </c>
      <c r="R29" s="1" t="s">
        <v>20</v>
      </c>
      <c r="S29" s="1" t="s">
        <v>25</v>
      </c>
      <c r="U29" s="1" t="s">
        <v>93</v>
      </c>
      <c r="V29" s="1" t="s">
        <v>116</v>
      </c>
    </row>
    <row r="30" spans="1:22" x14ac:dyDescent="0.25">
      <c r="A30" s="1">
        <v>94308798</v>
      </c>
      <c r="B30" s="2">
        <v>45574</v>
      </c>
      <c r="C30" s="2">
        <v>46669</v>
      </c>
      <c r="D30" s="2">
        <v>46608</v>
      </c>
      <c r="E30" s="1" t="s">
        <v>58</v>
      </c>
      <c r="F30" s="1" t="s">
        <v>108</v>
      </c>
      <c r="G30" s="1">
        <v>89632</v>
      </c>
      <c r="H30" s="2">
        <v>46133</v>
      </c>
      <c r="I30" s="1">
        <f t="shared" si="2"/>
        <v>46540.674848268478</v>
      </c>
      <c r="J30" s="1">
        <f t="shared" si="1"/>
        <v>2.6484242418314463</v>
      </c>
      <c r="K30" s="1">
        <v>52</v>
      </c>
      <c r="L30" s="1">
        <v>52</v>
      </c>
      <c r="M30" s="1">
        <v>47</v>
      </c>
      <c r="N30" s="1">
        <v>47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59</v>
      </c>
      <c r="U30" s="1" t="s">
        <v>93</v>
      </c>
      <c r="V30" s="1" t="s">
        <v>94</v>
      </c>
    </row>
    <row r="31" spans="1:22" x14ac:dyDescent="0.25">
      <c r="A31" s="1">
        <v>94304292</v>
      </c>
      <c r="B31" s="2">
        <v>45580</v>
      </c>
      <c r="C31" s="2">
        <v>46675</v>
      </c>
      <c r="D31" s="2">
        <v>46614</v>
      </c>
      <c r="E31" s="1" t="s">
        <v>60</v>
      </c>
      <c r="F31" s="1" t="s">
        <v>108</v>
      </c>
      <c r="G31" s="1">
        <v>26977</v>
      </c>
      <c r="H31" s="2">
        <v>45895</v>
      </c>
      <c r="I31" s="1">
        <f t="shared" si="2"/>
        <v>47389.875078770805</v>
      </c>
      <c r="J31" s="1">
        <f t="shared" si="1"/>
        <v>4.958561859646041</v>
      </c>
      <c r="K31" s="1">
        <v>41</v>
      </c>
      <c r="L31" s="1">
        <v>36</v>
      </c>
      <c r="M31" s="1">
        <v>38</v>
      </c>
      <c r="N31" s="1">
        <v>44</v>
      </c>
      <c r="O31" s="1" t="s">
        <v>30</v>
      </c>
      <c r="P31" s="1" t="s">
        <v>37</v>
      </c>
      <c r="Q31" s="1" t="s">
        <v>30</v>
      </c>
      <c r="R31" s="1" t="s">
        <v>30</v>
      </c>
      <c r="S31" s="1" t="s">
        <v>61</v>
      </c>
      <c r="T31" s="1" t="s">
        <v>56</v>
      </c>
      <c r="U31" s="1" t="s">
        <v>93</v>
      </c>
      <c r="V31" s="1" t="s">
        <v>95</v>
      </c>
    </row>
    <row r="32" spans="1:22" x14ac:dyDescent="0.25">
      <c r="A32" s="1">
        <v>94306792</v>
      </c>
      <c r="B32" s="2">
        <v>45614</v>
      </c>
      <c r="C32" s="2">
        <v>46709</v>
      </c>
      <c r="D32" s="2">
        <v>46648</v>
      </c>
      <c r="E32" s="1" t="s">
        <v>62</v>
      </c>
      <c r="F32" s="1" t="s">
        <v>108</v>
      </c>
      <c r="G32" s="1">
        <v>49651</v>
      </c>
      <c r="H32" s="2">
        <v>46128</v>
      </c>
      <c r="I32" s="1">
        <f t="shared" si="2"/>
        <v>47218.600108759136</v>
      </c>
      <c r="J32" s="1">
        <f t="shared" si="1"/>
        <v>4.3961646815318787</v>
      </c>
      <c r="K32" s="1">
        <v>37</v>
      </c>
      <c r="L32" s="1">
        <v>40</v>
      </c>
      <c r="M32" s="1">
        <v>41</v>
      </c>
      <c r="N32" s="1">
        <v>43</v>
      </c>
      <c r="O32" s="1" t="s">
        <v>38</v>
      </c>
      <c r="P32" s="1" t="s">
        <v>38</v>
      </c>
      <c r="Q32" s="1" t="s">
        <v>20</v>
      </c>
      <c r="R32" s="1" t="s">
        <v>38</v>
      </c>
      <c r="S32" s="1" t="s">
        <v>63</v>
      </c>
      <c r="U32" s="1" t="s">
        <v>93</v>
      </c>
      <c r="V32" s="1" t="s">
        <v>102</v>
      </c>
    </row>
    <row r="33" spans="1:22" x14ac:dyDescent="0.25">
      <c r="A33" s="1">
        <v>94309093</v>
      </c>
      <c r="B33" s="2">
        <v>45646</v>
      </c>
      <c r="C33" s="2">
        <v>46741</v>
      </c>
      <c r="D33" s="2">
        <v>46680</v>
      </c>
      <c r="E33" s="1" t="s">
        <v>64</v>
      </c>
      <c r="F33" s="1" t="s">
        <v>108</v>
      </c>
      <c r="G33" s="1">
        <v>60767</v>
      </c>
      <c r="H33" s="2">
        <v>46129</v>
      </c>
      <c r="I33" s="1">
        <f t="shared" si="2"/>
        <v>46878.000921552819</v>
      </c>
      <c r="J33" s="1">
        <f t="shared" si="1"/>
        <v>3.3753449905556683</v>
      </c>
      <c r="K33" s="1">
        <v>47</v>
      </c>
      <c r="L33" s="1">
        <v>54</v>
      </c>
      <c r="M33" s="1">
        <v>42</v>
      </c>
      <c r="N33" s="1">
        <v>39</v>
      </c>
      <c r="O33" s="1" t="s">
        <v>19</v>
      </c>
      <c r="P33" s="1" t="s">
        <v>19</v>
      </c>
      <c r="Q33" s="1" t="s">
        <v>19</v>
      </c>
      <c r="R33" s="1" t="s">
        <v>19</v>
      </c>
      <c r="S33" s="1" t="s">
        <v>65</v>
      </c>
      <c r="U33" s="1" t="s">
        <v>106</v>
      </c>
      <c r="V33" s="1" t="s">
        <v>99</v>
      </c>
    </row>
    <row r="34" spans="1:22" x14ac:dyDescent="0.25">
      <c r="A34" s="1">
        <v>94310695</v>
      </c>
      <c r="B34" s="2">
        <v>45665</v>
      </c>
      <c r="C34" s="2">
        <v>46760</v>
      </c>
      <c r="D34" s="2">
        <v>46709</v>
      </c>
      <c r="E34" s="1" t="s">
        <v>17</v>
      </c>
      <c r="F34" s="1" t="s">
        <v>108</v>
      </c>
      <c r="G34" s="1">
        <v>32026</v>
      </c>
      <c r="H34" s="2">
        <v>46132</v>
      </c>
      <c r="I34" s="1">
        <f t="shared" si="2"/>
        <v>47925.194841691125</v>
      </c>
      <c r="J34" s="1">
        <f t="shared" si="1"/>
        <v>6.1923146347702067</v>
      </c>
      <c r="K34" s="1">
        <v>38</v>
      </c>
      <c r="L34" s="1">
        <v>38</v>
      </c>
      <c r="M34" s="1">
        <v>46</v>
      </c>
      <c r="N34" s="1">
        <v>48</v>
      </c>
      <c r="O34" s="1" t="s">
        <v>31</v>
      </c>
      <c r="P34" s="1" t="s">
        <v>31</v>
      </c>
      <c r="Q34" s="1" t="s">
        <v>31</v>
      </c>
      <c r="R34" s="1" t="s">
        <v>31</v>
      </c>
      <c r="S34" s="1" t="s">
        <v>66</v>
      </c>
      <c r="U34" s="1" t="s">
        <v>93</v>
      </c>
      <c r="V34" s="1" t="s">
        <v>95</v>
      </c>
    </row>
    <row r="35" spans="1:22" x14ac:dyDescent="0.25">
      <c r="A35" s="1">
        <v>94303690</v>
      </c>
      <c r="B35" s="2">
        <v>45753</v>
      </c>
      <c r="C35" s="2">
        <v>46849</v>
      </c>
      <c r="D35" s="2">
        <v>46789</v>
      </c>
      <c r="E35" s="1" t="s">
        <v>67</v>
      </c>
      <c r="F35" s="1" t="s">
        <v>108</v>
      </c>
      <c r="G35" s="1">
        <v>54525</v>
      </c>
      <c r="H35" s="2">
        <v>46133</v>
      </c>
      <c r="I35" s="1">
        <f t="shared" si="2"/>
        <v>46833.238422741859</v>
      </c>
      <c r="J35" s="1">
        <f t="shared" si="1"/>
        <v>2.959557322580435</v>
      </c>
      <c r="K35" s="1">
        <v>41</v>
      </c>
      <c r="L35" s="1">
        <v>38</v>
      </c>
      <c r="M35" s="1">
        <v>47</v>
      </c>
      <c r="N35" s="1">
        <v>51</v>
      </c>
      <c r="O35" s="1" t="s">
        <v>18</v>
      </c>
      <c r="P35" s="1" t="s">
        <v>18</v>
      </c>
      <c r="Q35" s="1" t="s">
        <v>18</v>
      </c>
      <c r="R35" s="1" t="s">
        <v>18</v>
      </c>
      <c r="S35" s="1" t="s">
        <v>68</v>
      </c>
      <c r="T35" s="1" t="s">
        <v>39</v>
      </c>
      <c r="U35" s="1" t="s">
        <v>93</v>
      </c>
      <c r="V35" s="1" t="s">
        <v>95</v>
      </c>
    </row>
    <row r="36" spans="1:22" x14ac:dyDescent="0.25">
      <c r="A36" s="1">
        <v>94305497</v>
      </c>
      <c r="B36" s="2">
        <v>45753</v>
      </c>
      <c r="C36" s="2">
        <v>46849</v>
      </c>
      <c r="D36" s="2">
        <v>46789</v>
      </c>
      <c r="E36" s="1" t="s">
        <v>67</v>
      </c>
      <c r="F36" s="1" t="s">
        <v>108</v>
      </c>
      <c r="G36" s="1">
        <v>61247</v>
      </c>
      <c r="H36" s="2">
        <v>46133</v>
      </c>
      <c r="I36" s="1">
        <f t="shared" si="2"/>
        <v>46714.679755743142</v>
      </c>
      <c r="J36" s="1">
        <f t="shared" si="1"/>
        <v>2.6347390568305258</v>
      </c>
      <c r="K36" s="1">
        <v>41</v>
      </c>
      <c r="L36" s="1">
        <v>39</v>
      </c>
      <c r="M36" s="1">
        <v>46</v>
      </c>
      <c r="N36" s="1">
        <v>50</v>
      </c>
      <c r="O36" s="1" t="s">
        <v>18</v>
      </c>
      <c r="P36" s="1" t="s">
        <v>18</v>
      </c>
      <c r="Q36" s="1" t="s">
        <v>18</v>
      </c>
      <c r="R36" s="1" t="s">
        <v>18</v>
      </c>
      <c r="S36" s="1" t="s">
        <v>68</v>
      </c>
      <c r="U36" s="1" t="s">
        <v>93</v>
      </c>
      <c r="V36" s="1" t="s">
        <v>112</v>
      </c>
    </row>
    <row r="37" spans="1:22" x14ac:dyDescent="0.25">
      <c r="A37" s="1">
        <v>94307899</v>
      </c>
      <c r="B37" s="2">
        <v>45755</v>
      </c>
      <c r="C37" s="2">
        <v>46851</v>
      </c>
      <c r="D37" s="2">
        <v>46791</v>
      </c>
      <c r="E37" s="1" t="s">
        <v>69</v>
      </c>
      <c r="F37" s="1" t="s">
        <v>108</v>
      </c>
      <c r="G37" s="1">
        <v>73247</v>
      </c>
      <c r="H37" s="2">
        <v>46113</v>
      </c>
      <c r="I37" s="1">
        <f t="shared" si="2"/>
        <v>46512.573689024808</v>
      </c>
      <c r="J37" s="1">
        <f t="shared" si="1"/>
        <v>2.0755443534926248</v>
      </c>
      <c r="K37" s="1">
        <v>54</v>
      </c>
      <c r="L37" s="1">
        <v>57</v>
      </c>
      <c r="M37" s="1">
        <v>42</v>
      </c>
      <c r="N37" s="1">
        <v>42</v>
      </c>
      <c r="O37" s="1" t="s">
        <v>18</v>
      </c>
      <c r="P37" s="1" t="s">
        <v>18</v>
      </c>
      <c r="Q37" s="1" t="s">
        <v>18</v>
      </c>
      <c r="R37" s="1" t="s">
        <v>18</v>
      </c>
      <c r="S37" s="1" t="s">
        <v>70</v>
      </c>
      <c r="T37" s="1" t="s">
        <v>56</v>
      </c>
      <c r="U37" s="1" t="s">
        <v>106</v>
      </c>
      <c r="V37" s="1" t="s">
        <v>101</v>
      </c>
    </row>
    <row r="38" spans="1:22" x14ac:dyDescent="0.25">
      <c r="A38" s="1">
        <v>94308392</v>
      </c>
      <c r="B38" s="2">
        <v>45755</v>
      </c>
      <c r="C38" s="2">
        <v>46851</v>
      </c>
      <c r="D38" s="2">
        <v>46791</v>
      </c>
      <c r="E38" s="1" t="s">
        <v>69</v>
      </c>
      <c r="F38" s="1" t="s">
        <v>108</v>
      </c>
      <c r="G38" s="1">
        <v>75318</v>
      </c>
      <c r="H38" s="2">
        <v>46132</v>
      </c>
      <c r="I38" s="1">
        <f t="shared" si="2"/>
        <v>46530.843755808703</v>
      </c>
      <c r="J38" s="1">
        <f t="shared" si="1"/>
        <v>2.1255993309827468</v>
      </c>
      <c r="K38" s="1">
        <v>45</v>
      </c>
      <c r="L38" s="1">
        <v>42</v>
      </c>
      <c r="M38" s="1">
        <v>50</v>
      </c>
      <c r="N38" s="1">
        <v>48</v>
      </c>
      <c r="O38" s="1" t="s">
        <v>18</v>
      </c>
      <c r="P38" s="1" t="s">
        <v>18</v>
      </c>
      <c r="Q38" s="1" t="s">
        <v>18</v>
      </c>
      <c r="R38" s="1" t="s">
        <v>18</v>
      </c>
      <c r="S38" s="1" t="s">
        <v>70</v>
      </c>
      <c r="T38" s="1" t="s">
        <v>56</v>
      </c>
      <c r="U38" s="1" t="s">
        <v>93</v>
      </c>
      <c r="V38" s="1" t="s">
        <v>116</v>
      </c>
    </row>
    <row r="39" spans="1:22" x14ac:dyDescent="0.25">
      <c r="A39" s="1">
        <v>94307196</v>
      </c>
      <c r="B39" s="2">
        <v>45762</v>
      </c>
      <c r="C39" s="2">
        <v>46858</v>
      </c>
      <c r="D39" s="2">
        <v>46813</v>
      </c>
      <c r="E39" s="1" t="s">
        <v>69</v>
      </c>
      <c r="F39" s="1" t="s">
        <v>108</v>
      </c>
      <c r="G39" s="1">
        <v>74627</v>
      </c>
      <c r="H39" s="2">
        <v>46133</v>
      </c>
      <c r="I39" s="1">
        <f t="shared" si="2"/>
        <v>46532.565612981896</v>
      </c>
      <c r="J39" s="1">
        <f t="shared" si="1"/>
        <v>2.1111386657038254</v>
      </c>
      <c r="K39" s="1">
        <v>46</v>
      </c>
      <c r="L39" s="1">
        <v>50</v>
      </c>
      <c r="M39" s="1">
        <v>53</v>
      </c>
      <c r="N39" s="1">
        <v>53</v>
      </c>
      <c r="O39" s="1" t="s">
        <v>74</v>
      </c>
      <c r="P39" s="1" t="s">
        <v>74</v>
      </c>
      <c r="Q39" s="1" t="s">
        <v>74</v>
      </c>
      <c r="R39" s="1" t="s">
        <v>74</v>
      </c>
      <c r="S39" s="1" t="s">
        <v>70</v>
      </c>
      <c r="T39" s="1" t="s">
        <v>56</v>
      </c>
      <c r="U39" s="1" t="s">
        <v>93</v>
      </c>
      <c r="V39" s="1" t="s">
        <v>102</v>
      </c>
    </row>
    <row r="40" spans="1:22" x14ac:dyDescent="0.25">
      <c r="A40" s="1">
        <v>94304094</v>
      </c>
      <c r="B40" s="2">
        <v>45752</v>
      </c>
      <c r="C40" s="2">
        <v>46848</v>
      </c>
      <c r="D40" s="2">
        <v>46817</v>
      </c>
      <c r="E40" s="1" t="s">
        <v>67</v>
      </c>
      <c r="F40" s="1" t="s">
        <v>108</v>
      </c>
      <c r="G40" s="1">
        <v>48893</v>
      </c>
      <c r="H40" s="2">
        <v>46131</v>
      </c>
      <c r="I40" s="1">
        <f t="shared" si="2"/>
        <v>46953.501237395947</v>
      </c>
      <c r="J40" s="1">
        <f t="shared" si="1"/>
        <v>3.2917842120436909</v>
      </c>
      <c r="K40" s="1">
        <v>50</v>
      </c>
      <c r="L40" s="1">
        <v>48</v>
      </c>
      <c r="M40" s="1">
        <v>55</v>
      </c>
      <c r="N40" s="1">
        <v>55</v>
      </c>
      <c r="O40" s="1" t="s">
        <v>18</v>
      </c>
      <c r="P40" s="1" t="s">
        <v>18</v>
      </c>
      <c r="Q40" s="1" t="s">
        <v>18</v>
      </c>
      <c r="R40" s="1" t="s">
        <v>18</v>
      </c>
      <c r="S40" s="1" t="s">
        <v>68</v>
      </c>
      <c r="T40" s="1" t="s">
        <v>56</v>
      </c>
      <c r="U40" s="1" t="s">
        <v>93</v>
      </c>
      <c r="V40" s="1" t="s">
        <v>95</v>
      </c>
    </row>
    <row r="41" spans="1:22" x14ac:dyDescent="0.25">
      <c r="A41" s="1">
        <v>94357092</v>
      </c>
      <c r="B41" s="2">
        <v>45752</v>
      </c>
      <c r="C41" s="2">
        <v>46848</v>
      </c>
      <c r="D41" s="2">
        <v>46817</v>
      </c>
      <c r="E41" s="1" t="s">
        <v>67</v>
      </c>
      <c r="F41" s="1" t="s">
        <v>108</v>
      </c>
      <c r="G41" s="1">
        <v>61017</v>
      </c>
      <c r="H41" s="2">
        <v>46129</v>
      </c>
      <c r="I41" s="1">
        <f t="shared" si="2"/>
        <v>46709.683924152283</v>
      </c>
      <c r="J41" s="1">
        <f t="shared" si="1"/>
        <v>2.6237915730199535</v>
      </c>
      <c r="K41" s="1">
        <v>54</v>
      </c>
      <c r="L41" s="1">
        <v>49</v>
      </c>
      <c r="M41" s="1">
        <v>47</v>
      </c>
      <c r="N41" s="1">
        <v>49</v>
      </c>
      <c r="O41" s="1" t="s">
        <v>18</v>
      </c>
      <c r="P41" s="1" t="s">
        <v>18</v>
      </c>
      <c r="Q41" s="1" t="s">
        <v>18</v>
      </c>
      <c r="R41" s="1" t="s">
        <v>18</v>
      </c>
      <c r="S41" s="1" t="s">
        <v>68</v>
      </c>
      <c r="T41" s="1" t="s">
        <v>56</v>
      </c>
      <c r="U41" s="1" t="s">
        <v>106</v>
      </c>
      <c r="V41" s="1" t="s">
        <v>99</v>
      </c>
    </row>
    <row r="42" spans="1:22" x14ac:dyDescent="0.25">
      <c r="A42" s="1">
        <v>94308897</v>
      </c>
      <c r="B42" s="2">
        <v>45755</v>
      </c>
      <c r="C42" s="2">
        <v>46851</v>
      </c>
      <c r="D42" s="2">
        <v>46820</v>
      </c>
      <c r="E42" s="1" t="s">
        <v>69</v>
      </c>
      <c r="F42" s="1" t="s">
        <v>108</v>
      </c>
      <c r="G42" s="1">
        <v>70006</v>
      </c>
      <c r="H42" s="2">
        <v>46129</v>
      </c>
      <c r="I42" s="1">
        <f t="shared" si="2"/>
        <v>46583.071879553179</v>
      </c>
      <c r="J42" s="1">
        <f t="shared" si="1"/>
        <v>2.2686900809676147</v>
      </c>
      <c r="K42" s="1">
        <v>44</v>
      </c>
      <c r="L42" s="1">
        <v>46</v>
      </c>
      <c r="M42" s="1">
        <v>53</v>
      </c>
      <c r="N42" s="1">
        <v>45</v>
      </c>
      <c r="O42" s="1" t="s">
        <v>18</v>
      </c>
      <c r="P42" s="1" t="s">
        <v>71</v>
      </c>
      <c r="Q42" s="1" t="s">
        <v>71</v>
      </c>
      <c r="R42" s="1" t="s">
        <v>71</v>
      </c>
      <c r="S42" s="1" t="s">
        <v>70</v>
      </c>
      <c r="T42" s="1" t="s">
        <v>56</v>
      </c>
      <c r="U42" s="1" t="s">
        <v>106</v>
      </c>
      <c r="V42" s="1" t="s">
        <v>101</v>
      </c>
    </row>
    <row r="43" spans="1:22" x14ac:dyDescent="0.25">
      <c r="A43" s="1">
        <v>94308996</v>
      </c>
      <c r="B43" s="2">
        <v>45755</v>
      </c>
      <c r="C43" s="2">
        <v>46851</v>
      </c>
      <c r="D43" s="2">
        <v>46820</v>
      </c>
      <c r="E43" s="1" t="s">
        <v>72</v>
      </c>
      <c r="F43" s="1" t="s">
        <v>108</v>
      </c>
      <c r="G43" s="1">
        <v>57944</v>
      </c>
      <c r="H43" s="2">
        <v>46133</v>
      </c>
      <c r="I43" s="1">
        <f t="shared" si="2"/>
        <v>46766.14869529201</v>
      </c>
      <c r="J43" s="1">
        <f t="shared" si="1"/>
        <v>2.7702703980602998</v>
      </c>
      <c r="K43" s="1">
        <v>52</v>
      </c>
      <c r="L43" s="1">
        <v>51</v>
      </c>
      <c r="M43" s="1">
        <v>50</v>
      </c>
      <c r="N43" s="1">
        <v>45</v>
      </c>
      <c r="O43" s="1" t="s">
        <v>71</v>
      </c>
      <c r="P43" s="1" t="s">
        <v>71</v>
      </c>
      <c r="Q43" s="1" t="s">
        <v>71</v>
      </c>
      <c r="R43" s="1" t="s">
        <v>71</v>
      </c>
      <c r="S43" s="1" t="s">
        <v>73</v>
      </c>
      <c r="U43" s="1" t="s">
        <v>106</v>
      </c>
      <c r="V43" s="1" t="s">
        <v>97</v>
      </c>
    </row>
    <row r="44" spans="1:22" x14ac:dyDescent="0.25">
      <c r="A44" s="1">
        <v>94357498</v>
      </c>
      <c r="B44" s="2">
        <v>45755</v>
      </c>
      <c r="C44" s="2">
        <v>46851</v>
      </c>
      <c r="D44" s="2">
        <v>46820</v>
      </c>
      <c r="E44" s="1" t="s">
        <v>69</v>
      </c>
      <c r="F44" s="1" t="s">
        <v>108</v>
      </c>
      <c r="G44" s="1">
        <v>80449</v>
      </c>
      <c r="H44" s="2">
        <v>46133</v>
      </c>
      <c r="I44" s="1">
        <f t="shared" si="2"/>
        <v>46483.287486482121</v>
      </c>
      <c r="J44" s="1">
        <f t="shared" si="1"/>
        <v>1.995308182142796</v>
      </c>
      <c r="K44" s="1">
        <v>50</v>
      </c>
      <c r="L44" s="1">
        <v>54</v>
      </c>
      <c r="M44" s="1">
        <v>55</v>
      </c>
      <c r="N44" s="1">
        <v>55</v>
      </c>
      <c r="O44" s="1" t="s">
        <v>18</v>
      </c>
      <c r="P44" s="1" t="s">
        <v>18</v>
      </c>
      <c r="Q44" s="1" t="s">
        <v>18</v>
      </c>
      <c r="R44" s="1" t="s">
        <v>18</v>
      </c>
      <c r="S44" s="1" t="s">
        <v>70</v>
      </c>
      <c r="T44" s="1" t="s">
        <v>56</v>
      </c>
      <c r="U44" s="1" t="s">
        <v>93</v>
      </c>
      <c r="V44" s="1" t="s">
        <v>102</v>
      </c>
    </row>
    <row r="45" spans="1:22" x14ac:dyDescent="0.25">
      <c r="A45" s="1">
        <v>94307493</v>
      </c>
      <c r="B45" s="2">
        <v>45762</v>
      </c>
      <c r="C45" s="2">
        <v>46858</v>
      </c>
      <c r="D45" s="2">
        <v>46844</v>
      </c>
      <c r="E45" s="1" t="s">
        <v>69</v>
      </c>
      <c r="F45" s="1" t="s">
        <v>108</v>
      </c>
      <c r="G45" s="1">
        <v>79288</v>
      </c>
      <c r="H45" s="2">
        <v>46129</v>
      </c>
      <c r="I45" s="1">
        <f t="shared" si="2"/>
        <v>46479.44778528907</v>
      </c>
      <c r="J45" s="1">
        <f t="shared" si="1"/>
        <v>1.9656103706549874</v>
      </c>
      <c r="K45" s="1">
        <v>43</v>
      </c>
      <c r="L45" s="1">
        <v>48</v>
      </c>
      <c r="M45" s="1">
        <v>50</v>
      </c>
      <c r="N45" s="1">
        <v>58</v>
      </c>
      <c r="O45" s="1" t="s">
        <v>74</v>
      </c>
      <c r="P45" s="1" t="s">
        <v>74</v>
      </c>
      <c r="Q45" s="1" t="s">
        <v>74</v>
      </c>
      <c r="R45" s="1" t="s">
        <v>74</v>
      </c>
      <c r="S45" s="1" t="s">
        <v>70</v>
      </c>
      <c r="T45" s="1" t="s">
        <v>56</v>
      </c>
      <c r="U45" s="1" t="s">
        <v>106</v>
      </c>
      <c r="V45" s="1" t="s">
        <v>99</v>
      </c>
    </row>
    <row r="46" spans="1:22" x14ac:dyDescent="0.25">
      <c r="A46" s="1">
        <v>94308194</v>
      </c>
      <c r="B46" s="2">
        <v>45767</v>
      </c>
      <c r="C46" s="2">
        <v>46863</v>
      </c>
      <c r="D46" s="2">
        <v>46844</v>
      </c>
      <c r="E46" s="1" t="s">
        <v>72</v>
      </c>
      <c r="F46" s="1" t="s">
        <v>108</v>
      </c>
      <c r="G46" s="1">
        <v>62774</v>
      </c>
      <c r="H46" s="2">
        <v>46132</v>
      </c>
      <c r="I46" s="1">
        <f t="shared" si="2"/>
        <v>46668.248924714055</v>
      </c>
      <c r="J46" s="1">
        <f t="shared" si="1"/>
        <v>2.4691751362028898</v>
      </c>
      <c r="K46" s="1">
        <v>49</v>
      </c>
      <c r="L46" s="1">
        <v>48</v>
      </c>
      <c r="M46" s="1">
        <v>47</v>
      </c>
      <c r="N46" s="1">
        <v>46</v>
      </c>
      <c r="O46" s="1" t="s">
        <v>71</v>
      </c>
      <c r="P46" s="1" t="s">
        <v>71</v>
      </c>
      <c r="Q46" s="1" t="s">
        <v>71</v>
      </c>
      <c r="R46" s="1" t="s">
        <v>71</v>
      </c>
      <c r="S46" s="1" t="s">
        <v>73</v>
      </c>
      <c r="T46" s="1" t="s">
        <v>56</v>
      </c>
      <c r="U46" s="1" t="s">
        <v>106</v>
      </c>
      <c r="V46" s="1" t="s">
        <v>99</v>
      </c>
    </row>
    <row r="47" spans="1:22" x14ac:dyDescent="0.25">
      <c r="A47" s="1">
        <v>95120697</v>
      </c>
      <c r="B47" s="2">
        <v>45782</v>
      </c>
      <c r="C47" s="2">
        <v>46878</v>
      </c>
      <c r="D47" s="2">
        <v>46848</v>
      </c>
      <c r="E47" s="1" t="s">
        <v>75</v>
      </c>
      <c r="F47" s="1" t="s">
        <v>108</v>
      </c>
      <c r="G47" s="1">
        <v>66960</v>
      </c>
      <c r="H47" s="2">
        <v>46129</v>
      </c>
      <c r="I47" s="1">
        <f t="shared" si="2"/>
        <v>46585.240740740737</v>
      </c>
      <c r="J47" s="1">
        <f t="shared" si="1"/>
        <v>2.2006595636732529</v>
      </c>
      <c r="K47" s="1">
        <v>38</v>
      </c>
      <c r="L47" s="1">
        <v>38</v>
      </c>
      <c r="M47" s="1">
        <v>44</v>
      </c>
      <c r="N47" s="1">
        <v>36</v>
      </c>
      <c r="O47" s="1" t="s">
        <v>76</v>
      </c>
      <c r="P47" s="1" t="s">
        <v>76</v>
      </c>
      <c r="Q47" s="1" t="s">
        <v>76</v>
      </c>
      <c r="R47" s="1" t="s">
        <v>76</v>
      </c>
      <c r="S47" s="1" t="s">
        <v>77</v>
      </c>
      <c r="T47" s="1" t="s">
        <v>78</v>
      </c>
      <c r="U47" s="1" t="s">
        <v>106</v>
      </c>
      <c r="V47" s="1" t="s">
        <v>99</v>
      </c>
    </row>
    <row r="48" spans="1:22" x14ac:dyDescent="0.25">
      <c r="A48" s="1">
        <v>95120796</v>
      </c>
      <c r="B48" s="2">
        <v>45782</v>
      </c>
      <c r="C48" s="2">
        <v>46878</v>
      </c>
      <c r="D48" s="2">
        <v>46848</v>
      </c>
      <c r="E48" s="1" t="s">
        <v>75</v>
      </c>
      <c r="F48" s="1" t="s">
        <v>108</v>
      </c>
      <c r="G48" s="1">
        <v>71833</v>
      </c>
      <c r="H48" s="2">
        <v>46132</v>
      </c>
      <c r="I48" s="1">
        <f t="shared" si="2"/>
        <v>46537.223922152771</v>
      </c>
      <c r="J48" s="1">
        <f t="shared" si="1"/>
        <v>2.0691066360349883</v>
      </c>
      <c r="K48" s="1">
        <v>35</v>
      </c>
      <c r="L48" s="1">
        <v>35</v>
      </c>
      <c r="M48" s="1">
        <v>35</v>
      </c>
      <c r="N48" s="1">
        <v>35</v>
      </c>
      <c r="O48" s="1" t="s">
        <v>76</v>
      </c>
      <c r="P48" s="1" t="s">
        <v>76</v>
      </c>
      <c r="Q48" s="1" t="s">
        <v>76</v>
      </c>
      <c r="R48" s="1" t="s">
        <v>76</v>
      </c>
      <c r="S48" s="1" t="s">
        <v>77</v>
      </c>
      <c r="T48" s="1" t="s">
        <v>78</v>
      </c>
      <c r="U48" s="1" t="s">
        <v>106</v>
      </c>
      <c r="V48" s="1" t="s">
        <v>100</v>
      </c>
    </row>
    <row r="49" spans="1:22" x14ac:dyDescent="0.25">
      <c r="A49" s="1">
        <v>94309291</v>
      </c>
      <c r="B49" s="2">
        <v>45790</v>
      </c>
      <c r="C49" s="2">
        <v>46886</v>
      </c>
      <c r="D49" s="2">
        <v>46856</v>
      </c>
      <c r="E49" s="1" t="s">
        <v>75</v>
      </c>
      <c r="F49" s="1" t="s">
        <v>108</v>
      </c>
      <c r="G49" s="1">
        <v>67204</v>
      </c>
      <c r="H49" s="2">
        <v>46128</v>
      </c>
      <c r="I49" s="1">
        <f t="shared" si="2"/>
        <v>46569.566692458786</v>
      </c>
      <c r="J49" s="1">
        <f t="shared" si="1"/>
        <v>2.1357991574213311</v>
      </c>
      <c r="K49" s="1">
        <v>69</v>
      </c>
      <c r="L49" s="1">
        <v>69</v>
      </c>
      <c r="M49" s="1">
        <v>64</v>
      </c>
      <c r="N49" s="1">
        <v>60</v>
      </c>
      <c r="O49" s="1" t="s">
        <v>76</v>
      </c>
      <c r="P49" s="1" t="s">
        <v>76</v>
      </c>
      <c r="Q49" s="1" t="s">
        <v>79</v>
      </c>
      <c r="R49" s="1" t="s">
        <v>79</v>
      </c>
      <c r="S49" s="1" t="s">
        <v>77</v>
      </c>
      <c r="T49" s="1" t="s">
        <v>80</v>
      </c>
      <c r="U49" s="1" t="s">
        <v>93</v>
      </c>
      <c r="V49" s="1" t="s">
        <v>102</v>
      </c>
    </row>
    <row r="50" spans="1:22" x14ac:dyDescent="0.25">
      <c r="A50" s="1">
        <v>95090296</v>
      </c>
      <c r="B50" s="2">
        <v>45790</v>
      </c>
      <c r="C50" s="2">
        <v>46886</v>
      </c>
      <c r="D50" s="2">
        <v>46886</v>
      </c>
      <c r="E50" s="1" t="s">
        <v>75</v>
      </c>
      <c r="F50" s="1" t="s">
        <v>108</v>
      </c>
      <c r="G50" s="1">
        <v>68460</v>
      </c>
      <c r="H50" s="2">
        <v>46132</v>
      </c>
      <c r="I50" s="1">
        <f t="shared" si="2"/>
        <v>46564.320771253289</v>
      </c>
      <c r="J50" s="1">
        <f t="shared" si="1"/>
        <v>2.1214267705569574</v>
      </c>
      <c r="K50" s="1">
        <v>61</v>
      </c>
      <c r="L50" s="1">
        <v>62</v>
      </c>
      <c r="M50" s="1">
        <v>60</v>
      </c>
      <c r="N50" s="1">
        <v>60</v>
      </c>
      <c r="O50" s="1" t="s">
        <v>76</v>
      </c>
      <c r="P50" s="1" t="s">
        <v>76</v>
      </c>
      <c r="Q50" s="1" t="s">
        <v>76</v>
      </c>
      <c r="R50" s="1" t="s">
        <v>76</v>
      </c>
      <c r="S50" s="1" t="s">
        <v>77</v>
      </c>
      <c r="T50" s="1" t="s">
        <v>81</v>
      </c>
      <c r="U50" s="1" t="s">
        <v>106</v>
      </c>
      <c r="V50" s="1" t="s">
        <v>98</v>
      </c>
    </row>
    <row r="51" spans="1:22" x14ac:dyDescent="0.25">
      <c r="A51" s="1">
        <v>95090791</v>
      </c>
      <c r="B51" s="2">
        <v>45790</v>
      </c>
      <c r="C51" s="2">
        <v>46886</v>
      </c>
      <c r="D51" s="2">
        <v>46886</v>
      </c>
      <c r="E51" s="1" t="s">
        <v>75</v>
      </c>
      <c r="F51" s="1" t="s">
        <v>108</v>
      </c>
      <c r="G51" s="1">
        <v>70610</v>
      </c>
      <c r="H51" s="2">
        <v>46133</v>
      </c>
      <c r="I51" s="1">
        <f t="shared" si="2"/>
        <v>46542.938677241182</v>
      </c>
      <c r="J51" s="1">
        <f t="shared" si="1"/>
        <v>2.0628456910717308</v>
      </c>
      <c r="K51" s="1">
        <v>61</v>
      </c>
      <c r="L51" s="1">
        <v>62</v>
      </c>
      <c r="M51" s="1">
        <v>61</v>
      </c>
      <c r="N51" s="1">
        <v>65</v>
      </c>
      <c r="O51" s="1" t="s">
        <v>76</v>
      </c>
      <c r="P51" s="1" t="s">
        <v>76</v>
      </c>
      <c r="Q51" s="1" t="s">
        <v>76</v>
      </c>
      <c r="R51" s="1" t="s">
        <v>76</v>
      </c>
      <c r="S51" s="1" t="s">
        <v>77</v>
      </c>
      <c r="T51" s="1" t="s">
        <v>81</v>
      </c>
      <c r="U51" s="1" t="s">
        <v>106</v>
      </c>
      <c r="V51" s="1" t="s">
        <v>98</v>
      </c>
    </row>
    <row r="52" spans="1:22" x14ac:dyDescent="0.25">
      <c r="A52" s="1">
        <v>95120291</v>
      </c>
      <c r="B52" s="2">
        <v>45790</v>
      </c>
      <c r="C52" s="2">
        <v>46886</v>
      </c>
      <c r="D52" s="2">
        <v>46886</v>
      </c>
      <c r="E52" s="1" t="s">
        <v>75</v>
      </c>
      <c r="F52" s="1" t="s">
        <v>108</v>
      </c>
      <c r="G52" s="1">
        <v>62420</v>
      </c>
      <c r="H52" s="2">
        <v>46129</v>
      </c>
      <c r="I52" s="1">
        <f t="shared" si="2"/>
        <v>46631.797500801025</v>
      </c>
      <c r="J52" s="1">
        <f t="shared" si="1"/>
        <v>2.3062945227425349</v>
      </c>
      <c r="K52" s="1">
        <v>52</v>
      </c>
      <c r="L52" s="1">
        <v>50</v>
      </c>
      <c r="M52" s="1">
        <v>54</v>
      </c>
      <c r="N52" s="1">
        <v>55</v>
      </c>
      <c r="O52" s="1" t="s">
        <v>76</v>
      </c>
      <c r="P52" s="1" t="s">
        <v>76</v>
      </c>
      <c r="Q52" s="1" t="s">
        <v>76</v>
      </c>
      <c r="R52" s="1" t="s">
        <v>76</v>
      </c>
      <c r="S52" s="1" t="s">
        <v>82</v>
      </c>
      <c r="T52" s="1" t="s">
        <v>81</v>
      </c>
      <c r="U52" s="1" t="s">
        <v>106</v>
      </c>
      <c r="V52" s="1" t="s">
        <v>96</v>
      </c>
    </row>
    <row r="53" spans="1:22" x14ac:dyDescent="0.25">
      <c r="A53" s="1">
        <v>94306198</v>
      </c>
      <c r="B53" s="2">
        <v>45792</v>
      </c>
      <c r="C53" s="2">
        <v>46888</v>
      </c>
      <c r="D53" s="2">
        <v>46888</v>
      </c>
      <c r="E53" s="1" t="s">
        <v>72</v>
      </c>
      <c r="F53" s="1" t="s">
        <v>108</v>
      </c>
      <c r="G53" s="1">
        <v>66063</v>
      </c>
      <c r="H53" s="2">
        <v>46133</v>
      </c>
      <c r="I53" s="1">
        <f t="shared" si="2"/>
        <v>46592.069630504215</v>
      </c>
      <c r="J53" s="1">
        <f t="shared" si="1"/>
        <v>2.1919715904225061</v>
      </c>
      <c r="K53" s="1">
        <v>48</v>
      </c>
      <c r="L53" s="1">
        <v>44</v>
      </c>
      <c r="M53" s="1">
        <v>44</v>
      </c>
      <c r="N53" s="1">
        <v>43</v>
      </c>
      <c r="O53" s="1" t="s">
        <v>76</v>
      </c>
      <c r="P53" s="1" t="s">
        <v>76</v>
      </c>
      <c r="Q53" s="1" t="s">
        <v>76</v>
      </c>
      <c r="R53" s="1" t="s">
        <v>76</v>
      </c>
      <c r="S53" s="1" t="s">
        <v>83</v>
      </c>
      <c r="U53" s="1" t="s">
        <v>93</v>
      </c>
      <c r="V53" s="1" t="s">
        <v>117</v>
      </c>
    </row>
    <row r="54" spans="1:22" x14ac:dyDescent="0.25">
      <c r="A54" s="1">
        <v>94306297</v>
      </c>
      <c r="B54" s="2">
        <v>45793</v>
      </c>
      <c r="C54" s="2">
        <v>46889</v>
      </c>
      <c r="D54" s="2">
        <v>46889</v>
      </c>
      <c r="E54" s="1" t="s">
        <v>72</v>
      </c>
      <c r="F54" s="1" t="s">
        <v>108</v>
      </c>
      <c r="G54" s="1">
        <v>61529</v>
      </c>
      <c r="H54" s="2">
        <v>46133</v>
      </c>
      <c r="I54" s="1">
        <f t="shared" si="2"/>
        <v>46649.506687903267</v>
      </c>
      <c r="J54" s="1">
        <f t="shared" si="1"/>
        <v>2.3465936654884039</v>
      </c>
      <c r="K54" s="1">
        <v>44</v>
      </c>
      <c r="L54" s="1">
        <v>43</v>
      </c>
      <c r="M54" s="1">
        <v>37</v>
      </c>
      <c r="N54" s="1">
        <v>35</v>
      </c>
      <c r="O54" s="1" t="s">
        <v>76</v>
      </c>
      <c r="P54" s="1" t="s">
        <v>76</v>
      </c>
      <c r="Q54" s="1" t="s">
        <v>76</v>
      </c>
      <c r="R54" s="1" t="s">
        <v>76</v>
      </c>
      <c r="S54" s="1" t="s">
        <v>73</v>
      </c>
      <c r="U54" s="1" t="s">
        <v>93</v>
      </c>
      <c r="V54" s="1" t="s">
        <v>117</v>
      </c>
    </row>
    <row r="55" spans="1:22" x14ac:dyDescent="0.25">
      <c r="A55" s="1">
        <v>94306990</v>
      </c>
      <c r="B55" s="2">
        <v>45802</v>
      </c>
      <c r="C55" s="2">
        <v>46898</v>
      </c>
      <c r="D55" s="2">
        <v>46898</v>
      </c>
      <c r="E55" s="1" t="s">
        <v>72</v>
      </c>
      <c r="F55" s="1" t="s">
        <v>108</v>
      </c>
      <c r="G55" s="1">
        <v>70050</v>
      </c>
      <c r="H55" s="2">
        <v>46131</v>
      </c>
      <c r="I55" s="1">
        <f t="shared" si="2"/>
        <v>46529.980014275519</v>
      </c>
      <c r="J55" s="1">
        <f t="shared" si="1"/>
        <v>1.9944657925356695</v>
      </c>
      <c r="K55" s="1">
        <v>41</v>
      </c>
      <c r="L55" s="1">
        <v>41</v>
      </c>
      <c r="M55" s="1">
        <v>39</v>
      </c>
      <c r="N55" s="1">
        <v>37</v>
      </c>
      <c r="O55" s="1" t="s">
        <v>76</v>
      </c>
      <c r="P55" s="1" t="s">
        <v>76</v>
      </c>
      <c r="Q55" s="1" t="s">
        <v>76</v>
      </c>
      <c r="R55" s="1" t="s">
        <v>76</v>
      </c>
      <c r="S55" s="1" t="s">
        <v>73</v>
      </c>
      <c r="U55" s="1" t="s">
        <v>92</v>
      </c>
      <c r="V55" s="1" t="s">
        <v>116</v>
      </c>
    </row>
    <row r="56" spans="1:22" x14ac:dyDescent="0.25">
      <c r="A56" s="1">
        <v>94357290</v>
      </c>
      <c r="B56" s="2">
        <v>45871</v>
      </c>
      <c r="C56" s="2">
        <v>46967</v>
      </c>
      <c r="D56" s="2">
        <v>46936</v>
      </c>
      <c r="E56" s="1" t="s">
        <v>72</v>
      </c>
      <c r="F56" s="1" t="s">
        <v>108</v>
      </c>
      <c r="G56" s="1">
        <v>64334</v>
      </c>
      <c r="H56" s="2">
        <v>46129</v>
      </c>
      <c r="I56" s="1">
        <f t="shared" si="2"/>
        <v>46492.599776168121</v>
      </c>
      <c r="J56" s="1">
        <f t="shared" si="1"/>
        <v>1.7030130853921124</v>
      </c>
      <c r="K56" s="1">
        <v>46</v>
      </c>
      <c r="L56" s="1">
        <v>41</v>
      </c>
      <c r="M56" s="1">
        <v>40</v>
      </c>
      <c r="N56" s="1">
        <v>36</v>
      </c>
      <c r="O56" s="1" t="s">
        <v>87</v>
      </c>
      <c r="P56" s="1" t="s">
        <v>87</v>
      </c>
      <c r="Q56" s="1" t="s">
        <v>87</v>
      </c>
      <c r="R56" s="1" t="s">
        <v>87</v>
      </c>
      <c r="S56" s="1" t="s">
        <v>73</v>
      </c>
      <c r="U56" s="1" t="s">
        <v>93</v>
      </c>
      <c r="V56" s="1" t="s">
        <v>95</v>
      </c>
    </row>
    <row r="57" spans="1:22" x14ac:dyDescent="0.25">
      <c r="A57" s="1">
        <v>94305398</v>
      </c>
      <c r="B57" s="2">
        <v>45863</v>
      </c>
      <c r="C57" s="2">
        <v>46959</v>
      </c>
      <c r="D57" s="2">
        <v>46959</v>
      </c>
      <c r="E57" s="1" t="s">
        <v>84</v>
      </c>
      <c r="F57" s="1" t="s">
        <v>108</v>
      </c>
      <c r="G57" s="1">
        <v>47657</v>
      </c>
      <c r="H57" s="2">
        <v>46132</v>
      </c>
      <c r="I57" s="1">
        <f t="shared" si="2"/>
        <v>46737.897706527896</v>
      </c>
      <c r="J57" s="1">
        <f t="shared" si="1"/>
        <v>2.3969800178846463</v>
      </c>
      <c r="K57" s="1">
        <v>48</v>
      </c>
      <c r="L57" s="1">
        <v>39</v>
      </c>
      <c r="M57" s="1">
        <v>38</v>
      </c>
      <c r="N57" s="1">
        <v>42</v>
      </c>
      <c r="O57" s="1" t="s">
        <v>85</v>
      </c>
      <c r="P57" s="1" t="s">
        <v>85</v>
      </c>
      <c r="Q57" s="1" t="s">
        <v>85</v>
      </c>
      <c r="R57" s="1" t="s">
        <v>85</v>
      </c>
      <c r="S57" s="1" t="s">
        <v>86</v>
      </c>
      <c r="U57" s="1" t="s">
        <v>106</v>
      </c>
      <c r="V57" s="1" t="s">
        <v>96</v>
      </c>
    </row>
    <row r="58" spans="1:22" x14ac:dyDescent="0.25">
      <c r="A58" s="1">
        <v>94304797</v>
      </c>
      <c r="B58" s="2">
        <v>45965</v>
      </c>
      <c r="C58" s="2">
        <v>47061</v>
      </c>
      <c r="D58" s="2">
        <v>47030</v>
      </c>
      <c r="E58" s="1" t="s">
        <v>72</v>
      </c>
      <c r="F58" s="1" t="s">
        <v>108</v>
      </c>
      <c r="G58" s="1">
        <v>149</v>
      </c>
      <c r="H58" s="2">
        <v>45970</v>
      </c>
      <c r="K58" s="1">
        <v>47</v>
      </c>
      <c r="L58" s="1">
        <v>44</v>
      </c>
      <c r="M58" s="1">
        <v>38</v>
      </c>
      <c r="N58" s="1">
        <v>37</v>
      </c>
      <c r="O58" s="1" t="s">
        <v>88</v>
      </c>
      <c r="P58" s="1" t="s">
        <v>88</v>
      </c>
      <c r="Q58" s="1" t="s">
        <v>88</v>
      </c>
      <c r="R58" s="1" t="s">
        <v>88</v>
      </c>
      <c r="S58" s="1" t="s">
        <v>73</v>
      </c>
      <c r="T58" s="1" t="s">
        <v>39</v>
      </c>
      <c r="U58" s="1" t="s">
        <v>106</v>
      </c>
      <c r="V58" s="1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de6f18-a8a4-4428-8907-39f6e8900b6e">
      <Terms xmlns="http://schemas.microsoft.com/office/infopath/2007/PartnerControls"/>
    </lcf76f155ced4ddcb4097134ff3c332f>
    <TaxCatchAll xmlns="5872be33-4807-4df0-b5ea-af66f65db7d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CC29E88F49984B9DBA984464952D02" ma:contentTypeVersion="15" ma:contentTypeDescription="Create a new document." ma:contentTypeScope="" ma:versionID="57a998f16c2997e2a723cc71b860ffc6">
  <xsd:schema xmlns:xsd="http://www.w3.org/2001/XMLSchema" xmlns:xs="http://www.w3.org/2001/XMLSchema" xmlns:p="http://schemas.microsoft.com/office/2006/metadata/properties" xmlns:ns2="5872be33-4807-4df0-b5ea-af66f65db7dc" xmlns:ns3="16de6f18-a8a4-4428-8907-39f6e8900b6e" targetNamespace="http://schemas.microsoft.com/office/2006/metadata/properties" ma:root="true" ma:fieldsID="3cc6041fc67f46a88f3d4f3f45022517" ns2:_="" ns3:_="">
    <xsd:import namespace="5872be33-4807-4df0-b5ea-af66f65db7dc"/>
    <xsd:import namespace="16de6f18-a8a4-4428-8907-39f6e8900b6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2be33-4807-4df0-b5ea-af66f65db7d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56fcceb-f665-4f99-a7ad-428c009ca680}" ma:internalName="TaxCatchAll" ma:showField="CatchAllData" ma:web="5872be33-4807-4df0-b5ea-af66f65d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e6f18-a8a4-4428-8907-39f6e8900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0dda895-2c87-43e3-bd30-7225818b59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D0E4B46-EB59-4975-BC66-B843E2A4E3FF}">
  <ds:schemaRefs>
    <ds:schemaRef ds:uri="http://schemas.microsoft.com/office/2006/metadata/properties"/>
    <ds:schemaRef ds:uri="http://schemas.microsoft.com/office/infopath/2007/PartnerControls"/>
    <ds:schemaRef ds:uri="16de6f18-a8a4-4428-8907-39f6e8900b6e"/>
    <ds:schemaRef ds:uri="5872be33-4807-4df0-b5ea-af66f65db7dc"/>
  </ds:schemaRefs>
</ds:datastoreItem>
</file>

<file path=customXml/itemProps2.xml><?xml version="1.0" encoding="utf-8"?>
<ds:datastoreItem xmlns:ds="http://schemas.openxmlformats.org/officeDocument/2006/customXml" ds:itemID="{F39CC28D-AC33-4275-9C10-53284D1A0F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2be33-4807-4df0-b5ea-af66f65db7dc"/>
    <ds:schemaRef ds:uri="16de6f18-a8a4-4428-8907-39f6e8900b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F053B5-CF4D-476E-B520-6BDAF188B0D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68DB46D-C24A-431C-9D60-BFF2CE1A27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Ремонты и КП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Yernar Auyezkhan</cp:lastModifiedBy>
  <dcterms:created xsi:type="dcterms:W3CDTF">2024-12-18T09:57:22Z</dcterms:created>
  <dcterms:modified xsi:type="dcterms:W3CDTF">2026-05-19T14:16:08Z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0x010100FDCC29E88F49984B9DBA984464952D02</vt:lpwstr>
  </property>
  <property fmtid="{D5CDD505-2E9C-101B-9397-08002B2CF9AE}" pid="3" name="MediaServiceImageTags">
    <vt:lpwstr/>
  </property>
</Properties>
</file>